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ssumptions" sheetId="1" state="visible" r:id="rId3"/>
    <sheet name="Income-Statement" sheetId="2" state="visible" r:id="rId4"/>
    <sheet name="Balance-Sheet" sheetId="3" state="visible" r:id="rId5"/>
    <sheet name="Cash-Flow" sheetId="4" state="visible" r:id="rId6"/>
    <sheet name="Forecasts &amp; D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<sst xmlns="http://schemas.openxmlformats.org/spreadsheetml/2006/main" count="228" uniqueCount="218">
  <si>
    <t xml:space="preserve">YETI Holdings — Model Assumptions</t>
  </si>
  <si>
    <t xml:space="preserve">  Assumption</t>
  </si>
  <si>
    <t xml:space="preserve">Historical</t>
  </si>
  <si>
    <t xml:space="preserve">Projected</t>
  </si>
  <si>
    <t xml:space="preserve">  INCOME STATEMENT</t>
  </si>
  <si>
    <t xml:space="preserve">    Revenue Growth YoY</t>
  </si>
  <si>
    <t xml:space="preserve">N/A</t>
  </si>
  <si>
    <t xml:space="preserve">Reasonable middle ground as Yeti's growth was slowing from 13.1% in 2022 to 2.1% in 2025</t>
  </si>
  <si>
    <t xml:space="preserve">    Gross Margin %</t>
  </si>
  <si>
    <t xml:space="preserve">held near the 2025 actual of 57.4% and nudged slightly higher assuming supply chain improvements over time.</t>
  </si>
  <si>
    <t xml:space="preserve">    SG&amp;A % of Revenue</t>
  </si>
  <si>
    <t xml:space="preserve">gradually declining because as revenue scales, fixed overhead costs become a smaller slice of the overall company</t>
  </si>
  <si>
    <t xml:space="preserve">    Effective Tax Rate</t>
  </si>
  <si>
    <t xml:space="preserve">rounded up slightly from YETI's historical average to be conservative, since corporate tax rates have more political risk of going up rather than down</t>
  </si>
  <si>
    <t xml:space="preserve">    Interest Income / Expense ($000s)</t>
  </si>
  <si>
    <t xml:space="preserve">held at 443k because I'm not modeling new borrowing</t>
  </si>
  <si>
    <t xml:space="preserve">  BALANCE SHEET — WORKING CAPITAL</t>
  </si>
  <si>
    <t xml:space="preserve">    Days Sales Outstanding (DSO)</t>
  </si>
  <si>
    <t xml:space="preserve">held near 2025 actual of 27.6 assuming Yeti collections stays consistent</t>
  </si>
  <si>
    <t xml:space="preserve">    Days Inventory Outstanding (DIO)</t>
  </si>
  <si>
    <t xml:space="preserve">held near 2025 of 133 days assuming modest inventory improvements</t>
  </si>
  <si>
    <t xml:space="preserve">    Days Payable Outstanding (DPO)</t>
  </si>
  <si>
    <t xml:space="preserve">assuming supplier payments remain stable</t>
  </si>
  <si>
    <t xml:space="preserve">    Operating Margin % (derived)</t>
  </si>
  <si>
    <t xml:space="preserve">  CAPEX &amp; D&amp;A</t>
  </si>
  <si>
    <t xml:space="preserve">    Capex % of Revenue</t>
  </si>
  <si>
    <t xml:space="preserve">held near 2.3-2.4% since Yeti isn't in a heavy investment cycle</t>
  </si>
  <si>
    <t xml:space="preserve">    D&amp;A % of Revenue</t>
  </si>
  <si>
    <t xml:space="preserve">consistent with recent trend</t>
  </si>
  <si>
    <t xml:space="preserve">    Stock-Based Comp % of Revenue</t>
  </si>
  <si>
    <t xml:space="preserve">roughly matches US GDP growth rate</t>
  </si>
  <si>
    <t xml:space="preserve">  Note: Blue = hardcoded input  |  Yellow highlight = key driver </t>
  </si>
  <si>
    <t xml:space="preserve">  Green = cross-sheet formula  |  All $ in thousands</t>
  </si>
  <si>
    <t xml:space="preserve">FORMULA REFERENCE — Where Each Assumption Comes From</t>
  </si>
  <si>
    <t xml:space="preserve">Assumption</t>
  </si>
  <si>
    <t xml:space="preserve">Formula Logic</t>
  </si>
  <si>
    <t xml:space="preserve">Source Cells</t>
  </si>
  <si>
    <t xml:space="preserve">Revenue Growth YoY</t>
  </si>
  <si>
    <t xml:space="preserve">(Revenue_t - Revenue_t-1) / Revenue_t-1</t>
  </si>
  <si>
    <t xml:space="preserve">Income-Statement row 4 (Net Sales)</t>
  </si>
  <si>
    <t xml:space="preserve">Gross Margin %</t>
  </si>
  <si>
    <t xml:space="preserve">Gross Profit / Net Sales</t>
  </si>
  <si>
    <t xml:space="preserve">Income-Statement rows 6 ÷ 4</t>
  </si>
  <si>
    <t xml:space="preserve">SG&amp;A % of Revenue</t>
  </si>
  <si>
    <t xml:space="preserve">SG&amp;A / Net Sales</t>
  </si>
  <si>
    <t xml:space="preserve">Income-Statement rows 7 ÷ 4</t>
  </si>
  <si>
    <t xml:space="preserve">Effective Tax Rate</t>
  </si>
  <si>
    <t xml:space="preserve">ABS(Tax Expense / Income Before Taxes)</t>
  </si>
  <si>
    <t xml:space="preserve">Income-Statement rows 12 ÷ 11</t>
  </si>
  <si>
    <t xml:space="preserve">Interest Expense</t>
  </si>
  <si>
    <t xml:space="preserve">Direct link to IS Interest line</t>
  </si>
  <si>
    <t xml:space="preserve">Income-Statement row 9</t>
  </si>
  <si>
    <t xml:space="preserve">DSO</t>
  </si>
  <si>
    <t xml:space="preserve">(Accounts Receivable / Revenue) x 365</t>
  </si>
  <si>
    <t xml:space="preserve">Balance-Sheet row 6 ÷ Income-Statement row 4</t>
  </si>
  <si>
    <t xml:space="preserve">DIO</t>
  </si>
  <si>
    <t xml:space="preserve">(Inventory / COGS) x 365</t>
  </si>
  <si>
    <t xml:space="preserve">Balance-Sheet row 7 ÷ Income-Statement row 5</t>
  </si>
  <si>
    <t xml:space="preserve">DPO</t>
  </si>
  <si>
    <t xml:space="preserve">(Accounts Payable / COGS) x 365</t>
  </si>
  <si>
    <t xml:space="preserve">Balance-Sheet row 17 ÷ Income-Statement row 5</t>
  </si>
  <si>
    <t xml:space="preserve">Capex % of Revenue</t>
  </si>
  <si>
    <t xml:space="preserve">ABS(Capex) / Revenue</t>
  </si>
  <si>
    <t xml:space="preserve">Cash-Flow row 23 ÷ Income-Statement row 4</t>
  </si>
  <si>
    <t xml:space="preserve">D&amp;A % of Revenue</t>
  </si>
  <si>
    <t xml:space="preserve">D&amp;A / Revenue</t>
  </si>
  <si>
    <t xml:space="preserve">Cash-Flow row 6 ÷ Income-Statement row 4</t>
  </si>
  <si>
    <t xml:space="preserve">SBC % of Revenue</t>
  </si>
  <si>
    <t xml:space="preserve">Stock-Based Comp / Revenue</t>
  </si>
  <si>
    <t xml:space="preserve">Cash-Flow row 8 ÷ Income-Statement row 4</t>
  </si>
  <si>
    <t xml:space="preserve">Operating Margin % (ref)</t>
  </si>
  <si>
    <t xml:space="preserve">Operating Income / Revenue  [derived, not an input]</t>
  </si>
  <si>
    <t xml:space="preserve">Income-Statement rows 8 ÷ 4</t>
  </si>
  <si>
    <t xml:space="preserve">YETI Holdings, Inc. — Consolidated Income Statement (In Thousands)</t>
  </si>
  <si>
    <t xml:space="preserve">  ($000s)</t>
  </si>
  <si>
    <t xml:space="preserve">  Net Sales</t>
  </si>
  <si>
    <t xml:space="preserve">  COGS</t>
  </si>
  <si>
    <t xml:space="preserve">     Gross Profit</t>
  </si>
  <si>
    <t xml:space="preserve">  SG&amp;A Expenses</t>
  </si>
  <si>
    <t xml:space="preserve">     Operating Income</t>
  </si>
  <si>
    <t xml:space="preserve">  Interest Income/Expense</t>
  </si>
  <si>
    <t xml:space="preserve">  Other Income/Expense</t>
  </si>
  <si>
    <t xml:space="preserve">     Income Before Taxes</t>
  </si>
  <si>
    <t xml:space="preserve">  Income Tax Expense</t>
  </si>
  <si>
    <t xml:space="preserve">     Net Income</t>
  </si>
  <si>
    <t xml:space="preserve">  Key Margins</t>
  </si>
  <si>
    <t xml:space="preserve">  Gross Margin %</t>
  </si>
  <si>
    <t xml:space="preserve">  Operating Margin %</t>
  </si>
  <si>
    <t xml:space="preserve">  Net Margin %</t>
  </si>
  <si>
    <t xml:space="preserve">YETI Holdings, Inc. — Consolidated Balance Sheet (In Thousands)</t>
  </si>
  <si>
    <t xml:space="preserve"> </t>
  </si>
  <si>
    <t xml:space="preserve">  ASSETS</t>
  </si>
  <si>
    <t xml:space="preserve">  Cash</t>
  </si>
  <si>
    <t xml:space="preserve">  Accounts Receivable, net</t>
  </si>
  <si>
    <t xml:space="preserve">  Inventory</t>
  </si>
  <si>
    <t xml:space="preserve">  Prepaid expenses &amp; other current assets</t>
  </si>
  <si>
    <t xml:space="preserve">     Total Current Assets</t>
  </si>
  <si>
    <t xml:space="preserve">  Property &amp; Equipment, net</t>
  </si>
  <si>
    <t xml:space="preserve">  Operating lease ROU Assets</t>
  </si>
  <si>
    <t xml:space="preserve">  Goodwill</t>
  </si>
  <si>
    <t xml:space="preserve">  Intangible assets, net</t>
  </si>
  <si>
    <t xml:space="preserve">  Other assets</t>
  </si>
  <si>
    <t xml:space="preserve">     Total Assets</t>
  </si>
  <si>
    <t xml:space="preserve">  LIABILITIES AND STOCKHOLDERS EQUITY</t>
  </si>
  <si>
    <t xml:space="preserve">  Accounts Payable</t>
  </si>
  <si>
    <t xml:space="preserve">  Accrued expenses &amp; other current liabilities</t>
  </si>
  <si>
    <t xml:space="preserve">  Taxes Payable</t>
  </si>
  <si>
    <t xml:space="preserve">  Accrued payroll &amp; related costs</t>
  </si>
  <si>
    <t xml:space="preserve">  Operating lease liabilities (current)</t>
  </si>
  <si>
    <t xml:space="preserve">  Current maturities of long-term debt</t>
  </si>
  <si>
    <t xml:space="preserve">     Total Current Liabilities</t>
  </si>
  <si>
    <t xml:space="preserve">  Long-term debt, net</t>
  </si>
  <si>
    <t xml:space="preserve">  Operating lease liabilities (non-current)</t>
  </si>
  <si>
    <t xml:space="preserve">  Other liabilities</t>
  </si>
  <si>
    <t xml:space="preserve">     Total liabilities</t>
  </si>
  <si>
    <t xml:space="preserve">  STOCKHOLDERS EQUITY</t>
  </si>
  <si>
    <t xml:space="preserve">  Common Stock</t>
  </si>
  <si>
    <t xml:space="preserve">  Treasury stock</t>
  </si>
  <si>
    <t xml:space="preserve">  Additional paid-in capital</t>
  </si>
  <si>
    <t xml:space="preserve">  Retained earnings</t>
  </si>
  <si>
    <t xml:space="preserve">  Accumulated other comprehensive gain (loss)</t>
  </si>
  <si>
    <t xml:space="preserve">     Total Stockholders Equity</t>
  </si>
  <si>
    <t xml:space="preserve">     Total liabilities and stockholders equity</t>
  </si>
  <si>
    <t xml:space="preserve">  BALANCE CHECK  (Assets = Liabilities + Equity)</t>
  </si>
  <si>
    <t xml:space="preserve">Note: Cash (row 5) is the balancing plug — it comes from CF end-of-period balance</t>
  </si>
  <si>
    <t xml:space="preserve">YETI Holdings, Inc. — Statement of Cash Flows (In Thousands)</t>
  </si>
  <si>
    <t xml:space="preserve">  Cash Flows from Operating Activities</t>
  </si>
  <si>
    <t xml:space="preserve">  Net Income</t>
  </si>
  <si>
    <t xml:space="preserve">  Depreciation &amp; Amortization</t>
  </si>
  <si>
    <t xml:space="preserve">  Amortization of deferred financing fees</t>
  </si>
  <si>
    <t xml:space="preserve">  Stock-based Compensation</t>
  </si>
  <si>
    <t xml:space="preserve">  Deferred Income Taxes</t>
  </si>
  <si>
    <t xml:space="preserve">  Impairment of Long-Lived Assets</t>
  </si>
  <si>
    <t xml:space="preserve">  Loss on Modification of Debt</t>
  </si>
  <si>
    <t xml:space="preserve">  Product Recalls</t>
  </si>
  <si>
    <t xml:space="preserve">  Other Adjustments</t>
  </si>
  <si>
    <t xml:space="preserve">    Changes in Operating Assets and Liabilities</t>
  </si>
  <si>
    <t xml:space="preserve">  Accounts Receivable</t>
  </si>
  <si>
    <t xml:space="preserve">  Other Current Assets</t>
  </si>
  <si>
    <t xml:space="preserve">  Accounts Payable &amp; Accrued Expenses</t>
  </si>
  <si>
    <t xml:space="preserve">  Taxes Payable CF</t>
  </si>
  <si>
    <t xml:space="preserve">  Other Operating</t>
  </si>
  <si>
    <t xml:space="preserve">     Net Cash from Operating Activities</t>
  </si>
  <si>
    <t xml:space="preserve">  Cash Flows from Investing Activities</t>
  </si>
  <si>
    <t xml:space="preserve">  Purchases of property and equipment</t>
  </si>
  <si>
    <t xml:space="preserve">  Business Acquisition, net</t>
  </si>
  <si>
    <t xml:space="preserve">  Additions of Intangibles, net</t>
  </si>
  <si>
    <t xml:space="preserve">     Net Cash from Investing Activities</t>
  </si>
  <si>
    <t xml:space="preserve">  Cash Flows from Financing Activities</t>
  </si>
  <si>
    <t xml:space="preserve">  Repayments of Long-Term Debt</t>
  </si>
  <si>
    <t xml:space="preserve">  Taxes paid on Employee Stock Transactions</t>
  </si>
  <si>
    <t xml:space="preserve">  Proceeds from Employee Stock Transactions</t>
  </si>
  <si>
    <t xml:space="preserve">  Finance Lease Repayments</t>
  </si>
  <si>
    <t xml:space="preserve">  Repurchase of Common Stock</t>
  </si>
  <si>
    <t xml:space="preserve">  Excise Tax on Stock Repurchase</t>
  </si>
  <si>
    <t xml:space="preserve">     Net Cash from Financing Activities</t>
  </si>
  <si>
    <t xml:space="preserve">  Effect of Exchange Rate Changes</t>
  </si>
  <si>
    <t xml:space="preserve">     Net Change in Cash</t>
  </si>
  <si>
    <t xml:space="preserve">  Cash, beginning of period</t>
  </si>
  <si>
    <t xml:space="preserve">     Cash, end of period</t>
  </si>
  <si>
    <t xml:space="preserve">YETI Holdings, Inc. — Discounted Cash Flow Valuation</t>
  </si>
  <si>
    <t xml:space="preserve">($ in thousands, EXCEPT per share data)</t>
  </si>
  <si>
    <t xml:space="preserve">  → Projected financials flow from Income Statement, Balance Sheet, and Cash Flow tabs.</t>
  </si>
  <si>
    <t xml:space="preserve">DCF ASSUMPTIONS</t>
  </si>
  <si>
    <t xml:space="preserve">  WACC</t>
  </si>
  <si>
    <t xml:space="preserve">  ← change to run scenarios</t>
  </si>
  <si>
    <t xml:space="preserve">  Terminal Growth Rate</t>
  </si>
  <si>
    <t xml:space="preserve">  Tax Rate</t>
  </si>
  <si>
    <t xml:space="preserve">  Shares Outstanding (thou)</t>
  </si>
  <si>
    <t xml:space="preserve">  ← from latest 10-K (not in 3-statement; update as needed)</t>
  </si>
  <si>
    <t xml:space="preserve">  Net Debt / (Cash)  </t>
  </si>
  <si>
    <t xml:space="preserve">  = LT Debt + Current Debt − Cash  (BS rows 24+22−5, col G)</t>
  </si>
  <si>
    <t xml:space="preserve">  EV/EBITDA Exit Multiple</t>
  </si>
  <si>
    <t xml:space="preserve">  ← trailing actual: =C40/(Forecasts &amp; DCF not self-ref; see below)</t>
  </si>
  <si>
    <t xml:space="preserve">  Trailing EV/EBITDA (ref, 2025)</t>
  </si>
  <si>
    <t xml:space="preserve">  ← implied EV/EBITDA at DCF's own EV (sanity check)</t>
  </si>
  <si>
    <t xml:space="preserve">EBITDA Calculation (bridge from IS)</t>
  </si>
  <si>
    <t xml:space="preserve">  Operating Income (EBIT)</t>
  </si>
  <si>
    <t xml:space="preserve">  + Depreciation &amp; Amortization</t>
  </si>
  <si>
    <t xml:space="preserve">     EBITDA</t>
  </si>
  <si>
    <t xml:space="preserve">     EBITDA Margin %</t>
  </si>
  <si>
    <t xml:space="preserve">FREE CASH FLOW BUILD</t>
  </si>
  <si>
    <t xml:space="preserve">  EBIT (Operating Income)</t>
  </si>
  <si>
    <t xml:space="preserve">  NOPAT  =  EBIT × (1 − Tax Rate)</t>
  </si>
  <si>
    <t xml:space="preserve">  + D&amp;A</t>
  </si>
  <si>
    <t xml:space="preserve">  − Capex</t>
  </si>
  <si>
    <t xml:space="preserve">  − Change in Net Working Capital</t>
  </si>
  <si>
    <t xml:space="preserve">     Unlevered Free Cash Flow (UFCF)</t>
  </si>
  <si>
    <t xml:space="preserve">     FCF Margin %</t>
  </si>
  <si>
    <t xml:space="preserve">DCF CALCULATION</t>
  </si>
  <si>
    <t xml:space="preserve">  Period</t>
  </si>
  <si>
    <t xml:space="preserve">  Unlevered FCF</t>
  </si>
  <si>
    <t xml:space="preserve">  Discount Factor</t>
  </si>
  <si>
    <t xml:space="preserve">  PV of FCF</t>
  </si>
  <si>
    <t xml:space="preserve">  Sum of PV of FCFs</t>
  </si>
  <si>
    <t xml:space="preserve">  ← NPV(WACC, FCF_2026:FCF_2030)</t>
  </si>
  <si>
    <t xml:space="preserve">  Terminal Value  (Gordon Growth)</t>
  </si>
  <si>
    <t xml:space="preserve">  ← Gordon Growth: FCF_final × (1+g) ÷ (WACC − g)</t>
  </si>
  <si>
    <t xml:space="preserve">  PV of Terminal Value</t>
  </si>
  <si>
    <t xml:space="preserve">  TV as % of Enterprise Value</t>
  </si>
  <si>
    <t xml:space="preserve">     Enterprise Value</t>
  </si>
  <si>
    <t xml:space="preserve">  ← PV of FCFs + PV of Terminal Value</t>
  </si>
  <si>
    <t xml:space="preserve">  Less: Net Debt</t>
  </si>
  <si>
    <t xml:space="preserve">     Equity Value</t>
  </si>
  <si>
    <t xml:space="preserve">     Implied Share Price</t>
  </si>
  <si>
    <t xml:space="preserve">  ← Equity Value ÷ Shares Outstanding</t>
  </si>
  <si>
    <t xml:space="preserve">  Current Share Price (as of model date)</t>
  </si>
  <si>
    <t xml:space="preserve">  Implied Upside / (Downside)</t>
  </si>
  <si>
    <t xml:space="preserve">EV/EBITDA CROSS-CHECK</t>
  </si>
  <si>
    <t xml:space="preserve">  Exit Year EBITDA (2030)</t>
  </si>
  <si>
    <t xml:space="preserve">  Implied Terminal EV</t>
  </si>
  <si>
    <t xml:space="preserve">  PV of Terminal EV</t>
  </si>
  <si>
    <t xml:space="preserve">  Implied Share Price (EV/EBITDA method)</t>
  </si>
  <si>
    <t xml:space="preserve">SENSITIVITY ANALYSIS — Implied Share Price</t>
  </si>
  <si>
    <t xml:space="preserve">WACC →</t>
  </si>
  <si>
    <t xml:space="preserve">Terminal Growth ↓</t>
  </si>
  <si>
    <t xml:space="preserve">Note: highlighted cell = base case (WACC 9.0%, TGR 2.5%)</t>
  </si>
  <si>
    <t xml:space="preserve">Color legend:  Blue = hardcoded input    Black = formula    Green = cross-sheet link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</si>
</sst>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%;\(0.0%\);\-"/>
    <numFmt numFmtId="167" formatCode="#,##0;\(#,##0\);\-"/>
    <numFmt numFmtId="168" formatCode="0.0"/>
    <numFmt numFmtId="169" formatCode="0%"/>
    <numFmt numFmtId="170" formatCode="0.0%"/>
    <numFmt numFmtId="171" formatCode="0.0\x"/>
    <numFmt numFmtId="172" formatCode="0.0000"/>
    <numFmt numFmtId="173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8"/>
      <color theme="0" tint="-0.5"/>
      <name val="Arial"/>
      <family val="2"/>
      <charset val="1"/>
    </font>
    <font>
      <sz val="8"/>
      <color theme="0" tint="-0.5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i val="true"/>
      <sz val="9"/>
      <color rgb="FF0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000000"/>
      <name val="Arial"/>
      <family val="2"/>
      <charset val="1"/>
    </font>
    <font>
      <i val="true"/>
      <sz val="9"/>
      <color rgb="FF444444"/>
      <name val="Arial"/>
      <family val="2"/>
      <charset val="1"/>
    </font>
    <font>
      <b val="true"/>
      <sz val="10"/>
      <color rgb="FF1F4E79"/>
      <name val="Arial"/>
      <family val="0"/>
      <charset val="1"/>
    </font>
    <font>
      <sz val="10"/>
      <color rgb="FF008000"/>
      <name val="Arial"/>
      <family val="2"/>
      <charset val="1"/>
    </font>
    <font>
      <b val="true"/>
      <sz val="11"/>
      <color rgb="FF1F4E7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2F5F8F"/>
      </patternFill>
    </fill>
    <fill>
      <patternFill patternType="solid">
        <fgColor rgb="FF2F5F8F"/>
        <bgColor rgb="FF1F4E79"/>
      </patternFill>
    </fill>
    <fill>
      <patternFill patternType="solid">
        <fgColor rgb="FF2E75B6"/>
        <bgColor rgb="FF2F5F8F"/>
      </patternFill>
    </fill>
    <fill>
      <patternFill patternType="solid">
        <fgColor rgb="FFFFFF00"/>
        <bgColor rgb="FFFFFF00"/>
      </patternFill>
    </fill>
    <fill>
      <patternFill patternType="solid">
        <fgColor rgb="FFFFF0C2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0C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08080"/>
      <rgbColor rgb="FF9999FF"/>
      <rgbColor rgb="FF993366"/>
      <rgbColor rgb="FFFFF0C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FF9900"/>
      <rgbColor rgb="FFFF6600"/>
      <rgbColor rgb="FF2F5F8F"/>
      <rgbColor rgb="FF969696"/>
      <rgbColor rgb="FF003366"/>
      <rgbColor rgb="FF339966"/>
      <rgbColor rgb="FF003300"/>
      <rgbColor rgb="FF444444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BB59"/>
    <pageSetUpPr fitToPage="false"/>
  </sheetPr>
  <dimension ref="B1:M33"/>
  <sheetViews>
    <sheetView showFormulas="false" showGridLines="true" showRowColHeaders="true" showZeros="true" rightToLeft="false" tabSelected="false" showOutlineSymbols="true" defaultGridColor="true" view="normal" topLeftCell="A1" colorId="64" zoomScale="92" zoomScaleNormal="92" zoomScalePageLayoutView="100" workbookViewId="0">
      <pane xSplit="2" ySplit="2" topLeftCell="L5" activePane="bottomRight" state="frozen"/>
      <selection pane="topLeft" activeCell="A1" activeCellId="0" sqref="A1"/>
      <selection pane="topRight" activeCell="L1" activeCellId="0" sqref="L1"/>
      <selection pane="bottomLeft" activeCell="A5" activeCellId="0" sqref="A5"/>
      <selection pane="bottomRight" activeCell="M18" activeCellId="0" sqref="M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57"/>
    <col collapsed="false" customWidth="true" hidden="false" outlineLevel="0" max="12" min="3" style="0" width="48"/>
  </cols>
  <sheetData>
    <row r="1" customFormat="false" ht="19.5" hidden="false" customHeight="true" outlineLevel="0" collapsed="false">
      <c r="B1" s="1" t="s">
        <v>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n">
        <v>2026</v>
      </c>
      <c r="I1" s="2" t="n">
        <v>2027</v>
      </c>
      <c r="J1" s="2" t="n">
        <v>2028</v>
      </c>
      <c r="K1" s="2" t="n">
        <v>2029</v>
      </c>
      <c r="L1" s="2" t="n">
        <v>2030</v>
      </c>
    </row>
    <row r="2" customFormat="false" ht="15.75" hidden="false" customHeight="true" outlineLevel="0" collapsed="false">
      <c r="B2" s="3" t="s">
        <v>1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</row>
    <row r="3" customFormat="false" ht="15.75" hidden="false" customHeight="true" outlineLevel="0" collapsed="false">
      <c r="B3" s="6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15" hidden="false" customHeight="true" outlineLevel="0" collapsed="false">
      <c r="B4" s="8" t="s">
        <v>5</v>
      </c>
      <c r="C4" s="9" t="s">
        <v>6</v>
      </c>
      <c r="D4" s="10" t="n">
        <f aca="false">IFERROR(('Income-Statement'!D4-'Income-Statement'!C4)/'Income-Statement'!C4, 0)</f>
        <v>0.130570117839331</v>
      </c>
      <c r="E4" s="10" t="n">
        <f aca="false">IFERROR(('Income-Statement'!E4-'Income-Statement'!D4)/'Income-Statement'!D4,0)</f>
        <v>0.0398007299297527</v>
      </c>
      <c r="F4" s="10" t="n">
        <f aca="false">IFERROR(('Income-Statement'!F4-'Income-Statement'!E4)/'Income-Statement'!E4,0)</f>
        <v>0.10318843585358</v>
      </c>
      <c r="G4" s="10" t="n">
        <f aca="false">IFERROR(('Income-Statement'!G4-'Income-Statement'!F4)/'Income-Statement'!F4,0)</f>
        <v>0.0211058363066727</v>
      </c>
      <c r="H4" s="11" t="n">
        <v>0.04</v>
      </c>
      <c r="I4" s="11" t="n">
        <v>0.04</v>
      </c>
      <c r="J4" s="11" t="n">
        <v>0.045</v>
      </c>
      <c r="K4" s="11" t="n">
        <v>0.045</v>
      </c>
      <c r="L4" s="11" t="n">
        <v>0.05</v>
      </c>
      <c r="M4" s="12" t="s">
        <v>7</v>
      </c>
    </row>
    <row r="5" customFormat="false" ht="15" hidden="false" customHeight="true" outlineLevel="0" collapsed="false">
      <c r="B5" s="8" t="s">
        <v>8</v>
      </c>
      <c r="C5" s="10" t="n">
        <f aca="false">IFERROR('Income-Statement'!C6/'Income-Statement'!C4,0)</f>
        <v>0.578397847183784</v>
      </c>
      <c r="D5" s="10" t="n">
        <f aca="false">IFERROR('Income-Statement'!D6/'Income-Statement'!D4,0)</f>
        <v>0.478554708999751</v>
      </c>
      <c r="E5" s="10" t="n">
        <f aca="false">IFERROR('Income-Statement'!E6/'Income-Statement'!E4,0)</f>
        <v>0.568625193146735</v>
      </c>
      <c r="F5" s="10" t="n">
        <f aca="false">IFERROR('Income-Statement'!F6/'Income-Statement'!F4,0)</f>
        <v>0.581069833808139</v>
      </c>
      <c r="G5" s="10" t="n">
        <f aca="false">IFERROR('Income-Statement'!G6/'Income-Statement'!G4,0)</f>
        <v>0.574090149607117</v>
      </c>
      <c r="H5" s="11" t="n">
        <v>0.574</v>
      </c>
      <c r="I5" s="11" t="n">
        <v>0.576</v>
      </c>
      <c r="J5" s="11" t="n">
        <v>0.578</v>
      </c>
      <c r="K5" s="11" t="n">
        <v>0.58</v>
      </c>
      <c r="L5" s="11" t="n">
        <v>0.582</v>
      </c>
      <c r="M5" s="12" t="s">
        <v>9</v>
      </c>
    </row>
    <row r="6" customFormat="false" ht="15" hidden="false" customHeight="true" outlineLevel="0" collapsed="false">
      <c r="B6" s="8" t="s">
        <v>10</v>
      </c>
      <c r="C6" s="10" t="n">
        <f aca="false">IFERROR('Income-Statement'!C7/'Income-Statement'!C4,0)</f>
        <v>0.383543032582111</v>
      </c>
      <c r="D6" s="10" t="n">
        <f aca="false">IFERROR('Income-Statement'!D7/'Income-Statement'!D4,0)</f>
        <v>0.399342536650071</v>
      </c>
      <c r="E6" s="10" t="n">
        <f aca="false">IFERROR('Income-Statement'!E7/'Income-Statement'!E4,0)</f>
        <v>0.432701739240001</v>
      </c>
      <c r="F6" s="10" t="n">
        <f aca="false">IFERROR('Income-Statement'!F7/'Income-Statement'!F4,0)</f>
        <v>0.446975281891148</v>
      </c>
      <c r="G6" s="10" t="n">
        <f aca="false">IFERROR('Income-Statement'!G7/'Income-Statement'!G4,0)</f>
        <v>0.459796499212735</v>
      </c>
      <c r="H6" s="11" t="n">
        <v>0.457</v>
      </c>
      <c r="I6" s="11" t="n">
        <v>0.454</v>
      </c>
      <c r="J6" s="11" t="n">
        <v>0.451</v>
      </c>
      <c r="K6" s="11" t="n">
        <v>0.449</v>
      </c>
      <c r="L6" s="11" t="n">
        <v>0.447</v>
      </c>
      <c r="M6" s="12" t="s">
        <v>11</v>
      </c>
    </row>
    <row r="7" customFormat="false" ht="15" hidden="false" customHeight="true" outlineLevel="0" collapsed="false">
      <c r="B7" s="13" t="s">
        <v>12</v>
      </c>
      <c r="C7" s="14" t="n">
        <f aca="false">IFERROR(ABS('Income-Statement'!C12/'Income-Statement'!C11),0)</f>
        <v>0.207920718304087</v>
      </c>
      <c r="D7" s="14" t="n">
        <f aca="false">IFERROR(ABS('Income-Statement'!D12/'Income-Statement'!D11),0)</f>
        <v>0.227962505487317</v>
      </c>
      <c r="E7" s="14" t="n">
        <f aca="false">IFERROR(ABS('Income-Statement'!E12/'Income-Statement'!E11),0)</f>
        <v>0.24811680667062</v>
      </c>
      <c r="F7" s="14" t="n">
        <f aca="false">IFERROR(ABS('Income-Statement'!F12/'Income-Statement'!F11),0)</f>
        <v>0.245477736549165</v>
      </c>
      <c r="G7" s="14" t="n">
        <f aca="false">IFERROR(ABS('Income-Statement'!G12/'Income-Statement'!G11),0)</f>
        <v>0.249199885600665</v>
      </c>
      <c r="H7" s="11" t="n">
        <v>0.25</v>
      </c>
      <c r="I7" s="11" t="n">
        <v>0.25</v>
      </c>
      <c r="J7" s="11" t="n">
        <v>0.25</v>
      </c>
      <c r="K7" s="11" t="n">
        <v>0.25</v>
      </c>
      <c r="L7" s="11" t="n">
        <v>0.25</v>
      </c>
      <c r="M7" s="12" t="s">
        <v>13</v>
      </c>
    </row>
    <row r="8" customFormat="false" ht="14.25" hidden="false" customHeight="true" outlineLevel="0" collapsed="false">
      <c r="B8" s="15" t="s">
        <v>14</v>
      </c>
      <c r="C8" s="16" t="n">
        <f aca="false">'Income-Statement'!C9</f>
        <v>-3339</v>
      </c>
      <c r="D8" s="16" t="n">
        <f aca="false">'Income-Statement'!D9</f>
        <v>-4466</v>
      </c>
      <c r="E8" s="16" t="n">
        <f aca="false">'Income-Statement'!E9</f>
        <v>-942</v>
      </c>
      <c r="F8" s="16" t="n">
        <f aca="false">'Income-Statement'!F9</f>
        <v>660</v>
      </c>
      <c r="G8" s="16" t="n">
        <f aca="false">'Income-Statement'!G9</f>
        <v>-443</v>
      </c>
      <c r="H8" s="17" t="n">
        <f aca="false">'Income-Statement'!G9</f>
        <v>-443</v>
      </c>
      <c r="I8" s="17" t="n">
        <f aca="false">'Income-Statement'!G9</f>
        <v>-443</v>
      </c>
      <c r="J8" s="17" t="n">
        <f aca="false">'Income-Statement'!G9</f>
        <v>-443</v>
      </c>
      <c r="K8" s="17" t="n">
        <f aca="false">'Income-Statement'!G9</f>
        <v>-443</v>
      </c>
      <c r="L8" s="17" t="n">
        <f aca="false">'Income-Statement'!G9</f>
        <v>-443</v>
      </c>
      <c r="M8" s="12" t="s">
        <v>15</v>
      </c>
    </row>
    <row r="9" customFormat="false" ht="15.75" hidden="false" customHeight="true" outlineLevel="0" collapsed="false">
      <c r="B9" s="6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true" outlineLevel="0" collapsed="false">
      <c r="B10" s="8" t="s">
        <v>17</v>
      </c>
      <c r="C10" s="18" t="n">
        <f aca="false">IFERROR(('Balance-Sheet'!C6/'Income-Statement'!C4)*365,0)</f>
        <v>28.3336369029099</v>
      </c>
      <c r="D10" s="18" t="n">
        <f aca="false">IFERROR(('Balance-Sheet'!D6/'Income-Statement'!D4)*365,0)</f>
        <v>18.1779025113746</v>
      </c>
      <c r="E10" s="18" t="n">
        <f aca="false">IFERROR(('Balance-Sheet'!E6/'Income-Statement'!E4)*365,0)</f>
        <v>21.0750804991581</v>
      </c>
      <c r="F10" s="18" t="n">
        <f aca="false">IFERROR(('Balance-Sheet'!F6/'Income-Statement'!F4)*365,0)</f>
        <v>23.9739861728109</v>
      </c>
      <c r="G10" s="18" t="n">
        <f aca="false">IFERROR(('Balance-Sheet'!G6/'Income-Statement'!G4)*365,0)</f>
        <v>27.6263985862411</v>
      </c>
      <c r="H10" s="19" t="n">
        <v>28</v>
      </c>
      <c r="I10" s="19" t="n">
        <v>28</v>
      </c>
      <c r="J10" s="19" t="n">
        <v>28</v>
      </c>
      <c r="K10" s="19" t="n">
        <v>28</v>
      </c>
      <c r="L10" s="19" t="n">
        <v>28</v>
      </c>
      <c r="M10" s="12" t="s">
        <v>18</v>
      </c>
    </row>
    <row r="11" customFormat="false" ht="15" hidden="false" customHeight="true" outlineLevel="0" collapsed="false">
      <c r="B11" s="8" t="s">
        <v>19</v>
      </c>
      <c r="C11" s="18" t="n">
        <f aca="false">IFERROR(('Balance-Sheet'!C7/'Income-Statement'!C5)*365,0)</f>
        <v>195.646420430476</v>
      </c>
      <c r="D11" s="18" t="n">
        <f aca="false">IFERROR(('Balance-Sheet'!D7/'Income-Statement'!D5)*365,0)</f>
        <v>162.974221617391</v>
      </c>
      <c r="E11" s="18" t="n">
        <f aca="false">IFERROR(('Balance-Sheet'!E7/'Income-Statement'!E5)*365,0)</f>
        <v>172.014361442685</v>
      </c>
      <c r="F11" s="18" t="n">
        <f aca="false">IFERROR(('Balance-Sheet'!F7/'Income-Statement'!F5)*365,0)</f>
        <v>147.629525077975</v>
      </c>
      <c r="G11" s="18" t="n">
        <f aca="false">IFERROR(('Balance-Sheet'!G7/'Income-Statement'!G5)*365,0)</f>
        <v>133.289371834986</v>
      </c>
      <c r="H11" s="19" t="n">
        <v>135</v>
      </c>
      <c r="I11" s="19" t="n">
        <v>133</v>
      </c>
      <c r="J11" s="19" t="n">
        <v>131</v>
      </c>
      <c r="K11" s="19" t="n">
        <v>130</v>
      </c>
      <c r="L11" s="19" t="n">
        <v>130</v>
      </c>
      <c r="M11" s="12" t="s">
        <v>20</v>
      </c>
    </row>
    <row r="12" customFormat="false" ht="17.25" hidden="false" customHeight="true" outlineLevel="0" collapsed="false">
      <c r="B12" s="8" t="s">
        <v>21</v>
      </c>
      <c r="C12" s="18" t="n">
        <f aca="false">IFERROR(('Balance-Sheet'!C17/'Income-Statement'!C5)*365,0)</f>
        <v>117.388220402235</v>
      </c>
      <c r="D12" s="18" t="n">
        <f aca="false">IFERROR(('Balance-Sheet'!D17/'Income-Statement'!D5)*365,0)</f>
        <v>61.7904212564963</v>
      </c>
      <c r="E12" s="18" t="n">
        <f aca="false">IFERROR(('Balance-Sheet'!E17/'Income-Statement'!E5)*365,0)</f>
        <v>97.1215341978709</v>
      </c>
      <c r="F12" s="18" t="n">
        <f aca="false">IFERROR(('Balance-Sheet'!F17/'Income-Statement'!F5)*365,0)</f>
        <v>75.4669516520587</v>
      </c>
      <c r="G12" s="18" t="n">
        <f aca="false">IFERROR(('Balance-Sheet'!G17/'Income-Statement'!G5)*365,0)</f>
        <v>60.2068144406328</v>
      </c>
      <c r="H12" s="19" t="n">
        <v>62</v>
      </c>
      <c r="I12" s="19" t="n">
        <v>62</v>
      </c>
      <c r="J12" s="19" t="n">
        <v>62</v>
      </c>
      <c r="K12" s="19" t="n">
        <v>62</v>
      </c>
      <c r="L12" s="19" t="n">
        <v>62</v>
      </c>
      <c r="M12" s="12" t="s">
        <v>22</v>
      </c>
    </row>
    <row r="13" customFormat="false" ht="15" hidden="false" customHeight="true" outlineLevel="0" collapsed="false">
      <c r="B13" s="20" t="s">
        <v>23</v>
      </c>
      <c r="C13" s="21" t="n">
        <f aca="false">IFERROR('Income-Statement'!C8/'Income-Statement'!C4,0)</f>
        <v>0.194854814601673</v>
      </c>
      <c r="D13" s="21" t="n">
        <f aca="false">IFERROR('Income-Statement'!D8/'Income-Statement'!D4,0)</f>
        <v>0.0792121723496792</v>
      </c>
      <c r="E13" s="21" t="n">
        <f aca="false">IFERROR('Income-Statement'!E8/'Income-Statement'!E4,0)</f>
        <v>0.135923453906734</v>
      </c>
      <c r="F13" s="21" t="n">
        <f aca="false">IFERROR('Income-Statement'!F8/'Income-Statement'!F4,0)</f>
        <v>0.134094551916991</v>
      </c>
      <c r="G13" s="21" t="n">
        <f aca="false">IFERROR('Income-Statement'!G8/'Income-Statement'!G4,0)</f>
        <v>0.114293650394382</v>
      </c>
      <c r="H13" s="22" t="n">
        <f aca="false">IFERROR('Income-Statement'!H8/'Income-Statement'!H4,0)</f>
        <v>0.117</v>
      </c>
      <c r="I13" s="22" t="n">
        <f aca="false">IFERROR('Income-Statement'!I8/'Income-Statement'!I4,0)</f>
        <v>0.122</v>
      </c>
      <c r="J13" s="22" t="n">
        <f aca="false">IFERROR('Income-Statement'!J8/'Income-Statement'!J4,0)</f>
        <v>0.127</v>
      </c>
      <c r="K13" s="22" t="n">
        <f aca="false">IFERROR('Income-Statement'!K8/'Income-Statement'!K4,0)</f>
        <v>0.131</v>
      </c>
      <c r="L13" s="22" t="n">
        <f aca="false">IFERROR('Income-Statement'!L8/'Income-Statement'!L4,0)</f>
        <v>0.135</v>
      </c>
    </row>
    <row r="14" customFormat="false" ht="15.75" hidden="false" customHeight="true" outlineLevel="0" collapsed="false">
      <c r="B14" s="6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true" outlineLevel="0" collapsed="false">
      <c r="B15" s="8" t="s">
        <v>25</v>
      </c>
      <c r="C15" s="10" t="n">
        <f aca="false">IFERROR(ABS('Cash-Flow'!C23)/'Income-Statement'!C4,0)</f>
        <v>0.0397742292817308</v>
      </c>
      <c r="D15" s="10" t="n">
        <f aca="false">IFERROR(ABS('Cash-Flow'!D23)/'Income-Statement'!D4,0)</f>
        <v>0.0287916039272277</v>
      </c>
      <c r="E15" s="10" t="n">
        <f aca="false">IFERROR(ABS('Cash-Flow'!E23)/'Income-Statement'!E4,0)</f>
        <v>0.0305489858703706</v>
      </c>
      <c r="F15" s="10" t="n">
        <f aca="false">IFERROR(ABS('Cash-Flow'!F23)/'Income-Statement'!F4,0)</f>
        <v>0.0228606028942992</v>
      </c>
      <c r="G15" s="10" t="n">
        <f aca="false">IFERROR(ABS('Cash-Flow'!G23)/'Income-Statement'!G4,0)</f>
        <v>0.0228349676263344</v>
      </c>
      <c r="H15" s="11" t="n">
        <v>0.024</v>
      </c>
      <c r="I15" s="11" t="n">
        <v>0.024</v>
      </c>
      <c r="J15" s="11" t="n">
        <v>0.023</v>
      </c>
      <c r="K15" s="11" t="n">
        <v>0.023</v>
      </c>
      <c r="L15" s="11" t="n">
        <v>0.023</v>
      </c>
      <c r="M15" s="12" t="s">
        <v>26</v>
      </c>
    </row>
    <row r="16" customFormat="false" ht="15" hidden="false" customHeight="true" outlineLevel="0" collapsed="false">
      <c r="B16" s="13" t="s">
        <v>27</v>
      </c>
      <c r="C16" s="14" t="n">
        <f aca="false">IFERROR('Cash-Flow'!C6/'Income-Statement'!C4,0)</f>
        <v>0.0227287384947721</v>
      </c>
      <c r="D16" s="14" t="n">
        <f aca="false">IFERROR('Cash-Flow'!D6/'Income-Statement'!D4,0)</f>
        <v>0.0249789684445174</v>
      </c>
      <c r="E16" s="14" t="n">
        <f aca="false">IFERROR('Cash-Flow'!E6/'Income-Statement'!E4,0)</f>
        <v>0.0279939929330752</v>
      </c>
      <c r="F16" s="14" t="n">
        <f aca="false">IFERROR('Cash-Flow'!F6/'Income-Statement'!F4,0)</f>
        <v>0.0263034647759708</v>
      </c>
      <c r="G16" s="14" t="n">
        <f aca="false">IFERROR('Cash-Flow'!G6/'Income-Statement'!G4,0)</f>
        <v>0.0290244442850766</v>
      </c>
      <c r="H16" s="11" t="n">
        <v>0.03</v>
      </c>
      <c r="I16" s="11" t="n">
        <v>0.03</v>
      </c>
      <c r="J16" s="11" t="n">
        <v>0.03</v>
      </c>
      <c r="K16" s="11" t="n">
        <v>0.03</v>
      </c>
      <c r="L16" s="11" t="n">
        <v>0.029</v>
      </c>
      <c r="M16" s="12" t="s">
        <v>28</v>
      </c>
    </row>
    <row r="17" customFormat="false" ht="15" hidden="false" customHeight="true" outlineLevel="0" collapsed="false">
      <c r="B17" s="15" t="s">
        <v>29</v>
      </c>
      <c r="C17" s="23" t="n">
        <f aca="false">IFERROR('Cash-Flow'!C8/'Income-Statement'!C4,0)</f>
        <v>0.0109667757863456</v>
      </c>
      <c r="D17" s="23" t="n">
        <f aca="false">IFERROR('Cash-Flow'!D8/'Income-Statement'!D4,0)</f>
        <v>0.0111576946656954</v>
      </c>
      <c r="E17" s="23" t="n">
        <f aca="false">IFERROR('Cash-Flow'!E8/'Income-Statement'!E4,0)</f>
        <v>0.0179657360857484</v>
      </c>
      <c r="F17" s="23" t="n">
        <f aca="false">IFERROR('Cash-Flow'!F8/'Income-Statement'!F4,0)</f>
        <v>0.0222523639618706</v>
      </c>
      <c r="G17" s="23" t="n">
        <f aca="false">IFERROR('Cash-Flow'!G8/'Income-Statement'!G4,0)</f>
        <v>0.0255221584869954</v>
      </c>
      <c r="H17" s="24" t="n">
        <f aca="false">'Cash-Flow'!G8/'Income-Statement'!G4</f>
        <v>0.0255221584869954</v>
      </c>
      <c r="I17" s="24" t="n">
        <f aca="false">'Cash-Flow'!G8/'Income-Statement'!G4</f>
        <v>0.0255221584869954</v>
      </c>
      <c r="J17" s="24" t="n">
        <f aca="false">'Cash-Flow'!G8/'Income-Statement'!G4</f>
        <v>0.0255221584869954</v>
      </c>
      <c r="K17" s="24" t="n">
        <f aca="false">'Cash-Flow'!G8/'Income-Statement'!G4</f>
        <v>0.0255221584869954</v>
      </c>
      <c r="L17" s="24" t="n">
        <f aca="false">'Cash-Flow'!G8/'Income-Statement'!G4</f>
        <v>0.0255221584869954</v>
      </c>
      <c r="M17" s="12" t="s">
        <v>30</v>
      </c>
    </row>
    <row r="18" customFormat="false" ht="15" hidden="false" customHeight="true" outlineLevel="0" collapsed="false">
      <c r="B18" s="25" t="s">
        <v>31</v>
      </c>
    </row>
    <row r="19" customFormat="false" ht="14.25" hidden="false" customHeight="false" outlineLevel="0" collapsed="false">
      <c r="B19" s="26" t="s">
        <v>32</v>
      </c>
    </row>
    <row r="20" customFormat="false" ht="15" hidden="false" customHeight="true" outlineLevel="0" collapsed="false">
      <c r="B20" s="27" t="s">
        <v>33</v>
      </c>
    </row>
    <row r="21" customFormat="false" ht="15" hidden="false" customHeight="true" outlineLevel="0" collapsed="false">
      <c r="B21" s="28" t="s">
        <v>34</v>
      </c>
      <c r="C21" s="28" t="s">
        <v>35</v>
      </c>
      <c r="D21" s="28" t="s">
        <v>36</v>
      </c>
    </row>
    <row r="22" customFormat="false" ht="15" hidden="false" customHeight="true" outlineLevel="0" collapsed="false">
      <c r="B22" s="29" t="s">
        <v>37</v>
      </c>
      <c r="C22" s="30" t="s">
        <v>38</v>
      </c>
      <c r="D22" s="31" t="s">
        <v>39</v>
      </c>
    </row>
    <row r="23" customFormat="false" ht="15" hidden="false" customHeight="true" outlineLevel="0" collapsed="false">
      <c r="B23" s="29" t="s">
        <v>40</v>
      </c>
      <c r="C23" s="30" t="s">
        <v>41</v>
      </c>
      <c r="D23" s="31" t="s">
        <v>42</v>
      </c>
    </row>
    <row r="24" customFormat="false" ht="15" hidden="false" customHeight="true" outlineLevel="0" collapsed="false">
      <c r="B24" s="29" t="s">
        <v>43</v>
      </c>
      <c r="C24" s="30" t="s">
        <v>44</v>
      </c>
      <c r="D24" s="31" t="s">
        <v>45</v>
      </c>
    </row>
    <row r="25" customFormat="false" ht="15" hidden="false" customHeight="true" outlineLevel="0" collapsed="false">
      <c r="B25" s="29" t="s">
        <v>46</v>
      </c>
      <c r="C25" s="30" t="s">
        <v>47</v>
      </c>
      <c r="D25" s="31" t="s">
        <v>48</v>
      </c>
    </row>
    <row r="26" customFormat="false" ht="15" hidden="false" customHeight="true" outlineLevel="0" collapsed="false">
      <c r="B26" s="29" t="s">
        <v>49</v>
      </c>
      <c r="C26" s="30" t="s">
        <v>50</v>
      </c>
      <c r="D26" s="31" t="s">
        <v>51</v>
      </c>
    </row>
    <row r="27" customFormat="false" ht="15" hidden="false" customHeight="true" outlineLevel="0" collapsed="false">
      <c r="B27" s="29" t="s">
        <v>52</v>
      </c>
      <c r="C27" s="30" t="s">
        <v>53</v>
      </c>
      <c r="D27" s="31" t="s">
        <v>54</v>
      </c>
    </row>
    <row r="28" customFormat="false" ht="15" hidden="false" customHeight="true" outlineLevel="0" collapsed="false">
      <c r="B28" s="29" t="s">
        <v>55</v>
      </c>
      <c r="C28" s="30" t="s">
        <v>56</v>
      </c>
      <c r="D28" s="31" t="s">
        <v>57</v>
      </c>
    </row>
    <row r="29" customFormat="false" ht="15" hidden="false" customHeight="true" outlineLevel="0" collapsed="false">
      <c r="B29" s="29" t="s">
        <v>58</v>
      </c>
      <c r="C29" s="30" t="s">
        <v>59</v>
      </c>
      <c r="D29" s="31" t="s">
        <v>60</v>
      </c>
    </row>
    <row r="30" customFormat="false" ht="15" hidden="false" customHeight="true" outlineLevel="0" collapsed="false">
      <c r="B30" s="29" t="s">
        <v>61</v>
      </c>
      <c r="C30" s="30" t="s">
        <v>62</v>
      </c>
      <c r="D30" s="31" t="s">
        <v>63</v>
      </c>
    </row>
    <row r="31" customFormat="false" ht="15" hidden="false" customHeight="true" outlineLevel="0" collapsed="false">
      <c r="B31" s="29" t="s">
        <v>64</v>
      </c>
      <c r="C31" s="30" t="s">
        <v>65</v>
      </c>
      <c r="D31" s="31" t="s">
        <v>66</v>
      </c>
    </row>
    <row r="32" customFormat="false" ht="15" hidden="false" customHeight="true" outlineLevel="0" collapsed="false">
      <c r="B32" s="29" t="s">
        <v>67</v>
      </c>
      <c r="C32" s="30" t="s">
        <v>68</v>
      </c>
      <c r="D32" s="31" t="s">
        <v>69</v>
      </c>
    </row>
    <row r="33" customFormat="false" ht="15" hidden="false" customHeight="true" outlineLevel="0" collapsed="false">
      <c r="B33" s="29" t="s">
        <v>70</v>
      </c>
      <c r="C33" s="30" t="s">
        <v>71</v>
      </c>
      <c r="D33" s="31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F17" activeCellId="0" sqref="F1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12" min="3" style="0" width="13"/>
  </cols>
  <sheetData>
    <row r="1" customFormat="false" ht="19.5" hidden="false" customHeight="true" outlineLevel="0" collapsed="false">
      <c r="B1" s="32" t="s">
        <v>73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5" hidden="false" customHeight="true" outlineLevel="0" collapsed="false">
      <c r="B2" s="34" t="s">
        <v>74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customFormat="false" ht="18" hidden="false" customHeight="true" outlineLevel="0" collapsed="false">
      <c r="B3" s="35"/>
      <c r="C3" s="36" t="n">
        <v>2021</v>
      </c>
      <c r="D3" s="36" t="n">
        <v>2022</v>
      </c>
      <c r="E3" s="36" t="n">
        <v>2023</v>
      </c>
      <c r="F3" s="36" t="n">
        <v>2024</v>
      </c>
      <c r="G3" s="36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</row>
    <row r="4" customFormat="false" ht="15.75" hidden="false" customHeight="true" outlineLevel="0" collapsed="false">
      <c r="B4" s="37" t="s">
        <v>75</v>
      </c>
      <c r="C4" s="38" t="n">
        <v>1410989</v>
      </c>
      <c r="D4" s="38" t="n">
        <v>1595222</v>
      </c>
      <c r="E4" s="38" t="n">
        <v>1658713</v>
      </c>
      <c r="F4" s="38" t="n">
        <v>1829873</v>
      </c>
      <c r="G4" s="38" t="n">
        <v>1868494</v>
      </c>
      <c r="H4" s="39" t="n">
        <f aca="false">G4*(1+Assumptions!H4)</f>
        <v>1943233.76</v>
      </c>
      <c r="I4" s="39" t="n">
        <f aca="false">H4*(1+Assumptions!I4)</f>
        <v>2020963.1104</v>
      </c>
      <c r="J4" s="39" t="n">
        <f aca="false">I4*(1+Assumptions!J4)</f>
        <v>2111906.450368</v>
      </c>
      <c r="K4" s="39" t="n">
        <f aca="false">J4*(1+Assumptions!K4)</f>
        <v>2206942.24063456</v>
      </c>
      <c r="L4" s="39" t="n">
        <f aca="false">K4*(1+Assumptions!L4)</f>
        <v>2317289.35266629</v>
      </c>
    </row>
    <row r="5" customFormat="false" ht="15.75" hidden="false" customHeight="true" outlineLevel="0" collapsed="false">
      <c r="B5" s="37" t="s">
        <v>76</v>
      </c>
      <c r="C5" s="38" t="n">
        <v>594876</v>
      </c>
      <c r="D5" s="38" t="n">
        <v>831821</v>
      </c>
      <c r="E5" s="38" t="n">
        <v>715527</v>
      </c>
      <c r="F5" s="38" t="n">
        <v>766589</v>
      </c>
      <c r="G5" s="38" t="n">
        <v>795810</v>
      </c>
      <c r="H5" s="39" t="n">
        <f aca="false">H4*(1-Assumptions!H5)</f>
        <v>827817.58176</v>
      </c>
      <c r="I5" s="39" t="n">
        <f aca="false">I4*(1-Assumptions!I5)</f>
        <v>856888.3588096</v>
      </c>
      <c r="J5" s="39" t="n">
        <f aca="false">J4*(1-Assumptions!J5)</f>
        <v>891224.522055296</v>
      </c>
      <c r="K5" s="39" t="n">
        <f aca="false">K4*(1-Assumptions!K5)</f>
        <v>926915.741066515</v>
      </c>
      <c r="L5" s="39" t="n">
        <f aca="false">L4*(1-Assumptions!L5)</f>
        <v>968626.949414509</v>
      </c>
    </row>
    <row r="6" customFormat="false" ht="15.75" hidden="false" customHeight="true" outlineLevel="0" collapsed="false">
      <c r="B6" s="40" t="s">
        <v>77</v>
      </c>
      <c r="C6" s="41" t="n">
        <v>816113</v>
      </c>
      <c r="D6" s="41" t="n">
        <v>763401</v>
      </c>
      <c r="E6" s="41" t="n">
        <v>943186</v>
      </c>
      <c r="F6" s="41" t="n">
        <v>1063284</v>
      </c>
      <c r="G6" s="41" t="n">
        <v>1072684</v>
      </c>
      <c r="H6" s="42" t="n">
        <f aca="false">H4-H5</f>
        <v>1115416.17824</v>
      </c>
      <c r="I6" s="42" t="n">
        <f aca="false">I4-I5</f>
        <v>1164074.7515904</v>
      </c>
      <c r="J6" s="42" t="n">
        <f aca="false">J4-J5</f>
        <v>1220681.9283127</v>
      </c>
      <c r="K6" s="42" t="n">
        <f aca="false">K4-K5</f>
        <v>1280026.49956804</v>
      </c>
      <c r="L6" s="42" t="n">
        <f aca="false">L4-L5</f>
        <v>1348662.40325178</v>
      </c>
    </row>
    <row r="7" customFormat="false" ht="15.75" hidden="false" customHeight="true" outlineLevel="0" collapsed="false">
      <c r="B7" s="37" t="s">
        <v>78</v>
      </c>
      <c r="C7" s="38" t="n">
        <v>541175</v>
      </c>
      <c r="D7" s="38" t="n">
        <v>637040</v>
      </c>
      <c r="E7" s="38" t="n">
        <v>717728</v>
      </c>
      <c r="F7" s="38" t="n">
        <v>817908</v>
      </c>
      <c r="G7" s="38" t="n">
        <v>859127</v>
      </c>
      <c r="H7" s="39" t="n">
        <f aca="false">H4*Assumptions!H6</f>
        <v>888057.82832</v>
      </c>
      <c r="I7" s="39" t="n">
        <f aca="false">I4*Assumptions!I6</f>
        <v>917517.2521216</v>
      </c>
      <c r="J7" s="39" t="n">
        <f aca="false">J4*Assumptions!J6</f>
        <v>952469.809115968</v>
      </c>
      <c r="K7" s="39" t="n">
        <f aca="false">K4*Assumptions!K6</f>
        <v>990917.066044918</v>
      </c>
      <c r="L7" s="39" t="n">
        <f aca="false">L4*Assumptions!L6</f>
        <v>1035828.34064183</v>
      </c>
    </row>
    <row r="8" customFormat="false" ht="15.75" hidden="false" customHeight="true" outlineLevel="0" collapsed="false">
      <c r="B8" s="40" t="s">
        <v>79</v>
      </c>
      <c r="C8" s="41" t="n">
        <v>274938</v>
      </c>
      <c r="D8" s="41" t="n">
        <v>126361</v>
      </c>
      <c r="E8" s="41" t="n">
        <v>225458</v>
      </c>
      <c r="F8" s="41" t="n">
        <v>245376</v>
      </c>
      <c r="G8" s="41" t="n">
        <v>213557</v>
      </c>
      <c r="H8" s="42" t="n">
        <f aca="false">H6-H7</f>
        <v>227358.34992</v>
      </c>
      <c r="I8" s="42" t="n">
        <f aca="false">I6-I7</f>
        <v>246557.4994688</v>
      </c>
      <c r="J8" s="42" t="n">
        <f aca="false">J6-J7</f>
        <v>268212.119196736</v>
      </c>
      <c r="K8" s="42" t="n">
        <f aca="false">K6-K7</f>
        <v>289109.433523127</v>
      </c>
      <c r="L8" s="42" t="n">
        <f aca="false">L6-L7</f>
        <v>312834.062609949</v>
      </c>
    </row>
    <row r="9" customFormat="false" ht="15.75" hidden="false" customHeight="true" outlineLevel="0" collapsed="false">
      <c r="B9" s="37" t="s">
        <v>80</v>
      </c>
      <c r="C9" s="38" t="n">
        <v>-3339</v>
      </c>
      <c r="D9" s="38" t="n">
        <v>-4466</v>
      </c>
      <c r="E9" s="38" t="n">
        <v>-942</v>
      </c>
      <c r="F9" s="38" t="n">
        <v>660</v>
      </c>
      <c r="G9" s="38" t="n">
        <v>-443</v>
      </c>
      <c r="H9" s="39" t="n">
        <f aca="false">G9</f>
        <v>-443</v>
      </c>
      <c r="I9" s="39" t="n">
        <f aca="false">G9</f>
        <v>-443</v>
      </c>
      <c r="J9" s="39" t="n">
        <f aca="false">G9</f>
        <v>-443</v>
      </c>
      <c r="K9" s="39" t="n">
        <f aca="false">G9</f>
        <v>-443</v>
      </c>
      <c r="L9" s="39" t="n">
        <f aca="false">G9</f>
        <v>-443</v>
      </c>
    </row>
    <row r="10" customFormat="false" ht="15.75" hidden="false" customHeight="true" outlineLevel="0" collapsed="false">
      <c r="B10" s="37" t="s">
        <v>81</v>
      </c>
      <c r="C10" s="38" t="n">
        <v>-3189</v>
      </c>
      <c r="D10" s="38" t="n">
        <v>-5718</v>
      </c>
      <c r="E10" s="38" t="n">
        <v>1430</v>
      </c>
      <c r="F10" s="38" t="n">
        <v>-13188</v>
      </c>
      <c r="G10" s="38" t="n">
        <v>7167</v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</row>
    <row r="11" customFormat="false" ht="15.75" hidden="false" customHeight="true" outlineLevel="0" collapsed="false">
      <c r="B11" s="40" t="s">
        <v>82</v>
      </c>
      <c r="C11" s="41" t="n">
        <v>268410</v>
      </c>
      <c r="D11" s="41" t="n">
        <v>116177</v>
      </c>
      <c r="E11" s="41" t="n">
        <v>225946</v>
      </c>
      <c r="F11" s="41" t="n">
        <v>232848</v>
      </c>
      <c r="G11" s="41" t="n">
        <v>220281</v>
      </c>
      <c r="H11" s="42" t="n">
        <f aca="false">H8+H9+H10</f>
        <v>226915.34992</v>
      </c>
      <c r="I11" s="42" t="n">
        <f aca="false">I8+I9+I10</f>
        <v>246114.4994688</v>
      </c>
      <c r="J11" s="42" t="n">
        <f aca="false">J8+J9+J10</f>
        <v>267769.119196736</v>
      </c>
      <c r="K11" s="42" t="n">
        <f aca="false">K8+K9+K10</f>
        <v>288666.433523127</v>
      </c>
      <c r="L11" s="42" t="n">
        <f aca="false">L8+L9+L10</f>
        <v>312391.062609949</v>
      </c>
    </row>
    <row r="12" customFormat="false" ht="15.75" hidden="false" customHeight="true" outlineLevel="0" collapsed="false">
      <c r="B12" s="37" t="s">
        <v>83</v>
      </c>
      <c r="C12" s="38" t="n">
        <v>-55808</v>
      </c>
      <c r="D12" s="38" t="n">
        <v>-26484</v>
      </c>
      <c r="E12" s="38" t="n">
        <v>-56061</v>
      </c>
      <c r="F12" s="38" t="n">
        <v>-57159</v>
      </c>
      <c r="G12" s="38" t="n">
        <v>-54894</v>
      </c>
      <c r="H12" s="39" t="n">
        <f aca="false">-H11*Assumptions!H7</f>
        <v>-56728.8374799999</v>
      </c>
      <c r="I12" s="39" t="n">
        <f aca="false">-I11*Assumptions!I7</f>
        <v>-61528.6248672</v>
      </c>
      <c r="J12" s="39" t="n">
        <f aca="false">-J11*Assumptions!J7</f>
        <v>-66942.279799184</v>
      </c>
      <c r="K12" s="39" t="n">
        <f aca="false">-K11*Assumptions!K7</f>
        <v>-72166.6083807818</v>
      </c>
      <c r="L12" s="39" t="n">
        <f aca="false">-L11*Assumptions!L7</f>
        <v>-78097.7656524872</v>
      </c>
    </row>
    <row r="13" customFormat="false" ht="15.75" hidden="false" customHeight="true" outlineLevel="0" collapsed="false">
      <c r="B13" s="40" t="s">
        <v>84</v>
      </c>
      <c r="C13" s="41" t="n">
        <v>212602</v>
      </c>
      <c r="D13" s="41" t="n">
        <v>89693</v>
      </c>
      <c r="E13" s="41" t="n">
        <v>169885</v>
      </c>
      <c r="F13" s="41" t="n">
        <v>175689</v>
      </c>
      <c r="G13" s="41" t="n">
        <v>165387</v>
      </c>
      <c r="H13" s="42" t="n">
        <f aca="false">H11+H12</f>
        <v>170186.51244</v>
      </c>
      <c r="I13" s="42" t="n">
        <f aca="false">I11+I12</f>
        <v>184585.8746016</v>
      </c>
      <c r="J13" s="42" t="n">
        <f aca="false">J11+J12</f>
        <v>200826.839397552</v>
      </c>
      <c r="K13" s="42" t="n">
        <f aca="false">K11+K12</f>
        <v>216499.825142345</v>
      </c>
      <c r="L13" s="42" t="n">
        <f aca="false">L11+L12</f>
        <v>234293.296957462</v>
      </c>
    </row>
    <row r="14" customFormat="false" ht="6" hidden="false" customHeight="true" outlineLevel="0" collapsed="false"/>
    <row r="15" customFormat="false" ht="15.75" hidden="false" customHeight="true" outlineLevel="0" collapsed="false">
      <c r="B15" s="6" t="s">
        <v>85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3.5" hidden="false" customHeight="true" outlineLevel="0" collapsed="false">
      <c r="B16" s="13" t="s">
        <v>86</v>
      </c>
      <c r="C16" s="43" t="n">
        <f aca="false">C6/C4</f>
        <v>0.578397847183784</v>
      </c>
      <c r="D16" s="43" t="n">
        <f aca="false">D6/D4</f>
        <v>0.478554708999751</v>
      </c>
      <c r="E16" s="43" t="n">
        <f aca="false">E6/E4</f>
        <v>0.568625193146735</v>
      </c>
      <c r="F16" s="43" t="n">
        <f aca="false">F6/F4</f>
        <v>0.581069833808139</v>
      </c>
      <c r="G16" s="43" t="n">
        <f aca="false">G6/G4</f>
        <v>0.574090149607117</v>
      </c>
      <c r="H16" s="44" t="n">
        <f aca="false">H6/H4</f>
        <v>0.574</v>
      </c>
      <c r="I16" s="44" t="n">
        <f aca="false">I6/I4</f>
        <v>0.576</v>
      </c>
      <c r="J16" s="44" t="n">
        <f aca="false">J6/J4</f>
        <v>0.578</v>
      </c>
      <c r="K16" s="44" t="n">
        <f aca="false">K6/K4</f>
        <v>0.58</v>
      </c>
      <c r="L16" s="44" t="n">
        <f aca="false">L6/L4</f>
        <v>0.582</v>
      </c>
    </row>
    <row r="17" customFormat="false" ht="13.5" hidden="false" customHeight="true" outlineLevel="0" collapsed="false">
      <c r="B17" s="13" t="s">
        <v>87</v>
      </c>
      <c r="C17" s="43" t="n">
        <f aca="false">C8/C4</f>
        <v>0.194854814601673</v>
      </c>
      <c r="D17" s="43" t="n">
        <f aca="false">D8/D4</f>
        <v>0.0792121723496792</v>
      </c>
      <c r="E17" s="43" t="n">
        <f aca="false">E8/E4</f>
        <v>0.135923453906734</v>
      </c>
      <c r="F17" s="43" t="n">
        <f aca="false">F8/F4</f>
        <v>0.134094551916991</v>
      </c>
      <c r="G17" s="43" t="n">
        <f aca="false">G8/G4</f>
        <v>0.114293650394382</v>
      </c>
      <c r="H17" s="44" t="n">
        <f aca="false">H8/H4</f>
        <v>0.117</v>
      </c>
      <c r="I17" s="44" t="n">
        <f aca="false">I8/I4</f>
        <v>0.122</v>
      </c>
      <c r="J17" s="44" t="n">
        <f aca="false">J8/J4</f>
        <v>0.127</v>
      </c>
      <c r="K17" s="44" t="n">
        <f aca="false">K8/K4</f>
        <v>0.131</v>
      </c>
      <c r="L17" s="44" t="n">
        <f aca="false">L8/L4</f>
        <v>0.135</v>
      </c>
    </row>
    <row r="18" customFormat="false" ht="13.5" hidden="false" customHeight="true" outlineLevel="0" collapsed="false">
      <c r="B18" s="13" t="s">
        <v>88</v>
      </c>
      <c r="C18" s="43" t="n">
        <f aca="false">C13/C4</f>
        <v>0.150675873447631</v>
      </c>
      <c r="D18" s="43" t="n">
        <f aca="false">D13/D4</f>
        <v>0.0562260299820339</v>
      </c>
      <c r="E18" s="43" t="n">
        <f aca="false">E13/E4</f>
        <v>0.102419767615012</v>
      </c>
      <c r="F18" s="43" t="n">
        <f aca="false">F13/F4</f>
        <v>0.0960115811315867</v>
      </c>
      <c r="G18" s="43" t="n">
        <f aca="false">G13/G4</f>
        <v>0.0885135301478089</v>
      </c>
      <c r="H18" s="44" t="n">
        <f aca="false">H13/H4</f>
        <v>0.0875790221141484</v>
      </c>
      <c r="I18" s="44" t="n">
        <f aca="false">I13/I4</f>
        <v>0.0913355981866812</v>
      </c>
      <c r="J18" s="44" t="n">
        <f aca="false">J13/J4</f>
        <v>0.0950926776906041</v>
      </c>
      <c r="K18" s="44" t="n">
        <f aca="false">K13/K4</f>
        <v>0.0980994523355062</v>
      </c>
      <c r="L18" s="44" t="n">
        <f aca="false">L13/L4</f>
        <v>0.101106621271911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L38"/>
  <sheetViews>
    <sheetView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2" ySplit="3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B38" activeCellId="0" sqref="B3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3.09"/>
    <col collapsed="false" customWidth="true" hidden="false" outlineLevel="0" max="12" min="3" style="0" width="13"/>
  </cols>
  <sheetData>
    <row r="1" customFormat="false" ht="19.5" hidden="false" customHeight="true" outlineLevel="0" collapsed="false">
      <c r="B1" s="45" t="s">
        <v>89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5" hidden="false" customHeight="true" outlineLevel="0" collapsed="false">
      <c r="B2" s="46" t="s">
        <v>90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customFormat="false" ht="18" hidden="false" customHeight="true" outlineLevel="0" collapsed="false">
      <c r="B3" s="35"/>
      <c r="C3" s="36" t="n">
        <v>2021</v>
      </c>
      <c r="D3" s="36" t="n">
        <v>2022</v>
      </c>
      <c r="E3" s="36" t="n">
        <v>2023</v>
      </c>
      <c r="F3" s="36" t="n">
        <v>2024</v>
      </c>
      <c r="G3" s="36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</row>
    <row r="4" customFormat="false" ht="15.75" hidden="false" customHeight="true" outlineLevel="0" collapsed="false">
      <c r="B4" s="6" t="s">
        <v>91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B5" s="37" t="s">
        <v>92</v>
      </c>
      <c r="C5" s="38" t="n">
        <v>312189</v>
      </c>
      <c r="D5" s="38" t="n">
        <v>234741</v>
      </c>
      <c r="E5" s="38" t="n">
        <v>438960</v>
      </c>
      <c r="F5" s="38" t="n">
        <v>358795</v>
      </c>
      <c r="G5" s="38" t="n">
        <v>188342</v>
      </c>
      <c r="H5" s="39" t="n">
        <f aca="false">(H27+H34)-SUM(H6:H8)-SUM(H10:H14)</f>
        <v>386311.398183205</v>
      </c>
      <c r="I5" s="39" t="n">
        <f aca="false">(I27+I34)-SUM(I6:I8)-SUM(I10:I14)</f>
        <v>577979.265992828</v>
      </c>
      <c r="J5" s="39" t="n">
        <f aca="false">(J27+J34)-SUM(J6:J8)-SUM(J10:J14)</f>
        <v>787934.216383316</v>
      </c>
      <c r="K5" s="39" t="n">
        <f aca="false">(K27+K34)-SUM(K6:K8)-SUM(K10:K14)</f>
        <v>1011892.43931734</v>
      </c>
      <c r="L5" s="39" t="n">
        <f aca="false">(L27+L34)-SUM(L6:L8)-SUM(L10:L14)</f>
        <v>1248614.87681761</v>
      </c>
    </row>
    <row r="6" customFormat="false" ht="15.75" hidden="false" customHeight="true" outlineLevel="0" collapsed="false">
      <c r="B6" s="37" t="s">
        <v>93</v>
      </c>
      <c r="C6" s="38" t="n">
        <v>109530</v>
      </c>
      <c r="D6" s="38" t="n">
        <v>79446</v>
      </c>
      <c r="E6" s="38" t="n">
        <v>95774</v>
      </c>
      <c r="F6" s="38" t="n">
        <v>120190</v>
      </c>
      <c r="G6" s="38" t="n">
        <v>141424</v>
      </c>
      <c r="H6" s="39" t="n">
        <f aca="false">'Income-Statement'!H4/365*Assumptions!H10</f>
        <v>149069.987068493</v>
      </c>
      <c r="I6" s="39" t="n">
        <f aca="false">'Income-Statement'!I4/365*Assumptions!I10</f>
        <v>155032.786551233</v>
      </c>
      <c r="J6" s="39" t="n">
        <f aca="false">'Income-Statement'!J4/365*Assumptions!J10</f>
        <v>162009.261946038</v>
      </c>
      <c r="K6" s="39" t="n">
        <f aca="false">'Income-Statement'!K4/365*Assumptions!K10</f>
        <v>169299.67873361</v>
      </c>
      <c r="L6" s="39" t="n">
        <f aca="false">'Income-Statement'!L4/365*Assumptions!L10</f>
        <v>177764.662670291</v>
      </c>
    </row>
    <row r="7" customFormat="false" ht="15.75" hidden="false" customHeight="true" outlineLevel="0" collapsed="false">
      <c r="B7" s="37" t="s">
        <v>94</v>
      </c>
      <c r="C7" s="38" t="n">
        <v>318864</v>
      </c>
      <c r="D7" s="38" t="n">
        <v>371412</v>
      </c>
      <c r="E7" s="38" t="n">
        <v>337208</v>
      </c>
      <c r="F7" s="38" t="n">
        <v>310058</v>
      </c>
      <c r="G7" s="38" t="n">
        <v>290611</v>
      </c>
      <c r="H7" s="39" t="n">
        <f aca="false">'Income-Statement'!H5/365*Assumptions!H11</f>
        <v>306179.105582466</v>
      </c>
      <c r="I7" s="39" t="n">
        <f aca="false">'Income-Statement'!I5/365*Assumptions!I11</f>
        <v>312236.032114183</v>
      </c>
      <c r="J7" s="39" t="n">
        <f aca="false">'Income-Statement'!J5/365*Assumptions!J11</f>
        <v>319864.143532175</v>
      </c>
      <c r="K7" s="39" t="n">
        <f aca="false">'Income-Statement'!K5/365*Assumptions!K11</f>
        <v>330134.37353054</v>
      </c>
      <c r="L7" s="39" t="n">
        <f aca="false">'Income-Statement'!L5/365*Assumptions!L11</f>
        <v>344990.420339414</v>
      </c>
    </row>
    <row r="8" customFormat="false" ht="15.75" hidden="false" customHeight="true" outlineLevel="0" collapsed="false">
      <c r="B8" s="37" t="s">
        <v>95</v>
      </c>
      <c r="C8" s="38" t="n">
        <v>29584</v>
      </c>
      <c r="D8" s="38" t="n">
        <v>33321</v>
      </c>
      <c r="E8" s="38" t="n">
        <v>42463</v>
      </c>
      <c r="F8" s="38" t="n">
        <v>37723</v>
      </c>
      <c r="G8" s="38" t="n">
        <v>39949</v>
      </c>
      <c r="H8" s="39" t="n">
        <f aca="false">'Income-Statement'!H4*IFERROR(AVERAGE('Balance-Sheet'!C8/'Income-Statement'!C4,'Balance-Sheet'!D8/'Income-Statement'!D4,'Balance-Sheet'!E8/'Income-Statement'!E4,'Balance-Sheet'!F8/'Income-Statement'!F4,'Balance-Sheet'!G8/'Income-Statement'!G4),0.021)</f>
        <v>42537.4786376557</v>
      </c>
      <c r="I8" s="39" t="n">
        <f aca="false">'Income-Statement'!I4*IFERROR(AVERAGE('Balance-Sheet'!C8/'Income-Statement'!C4,'Balance-Sheet'!D8/'Income-Statement'!D4,'Balance-Sheet'!E8/'Income-Statement'!E4,'Balance-Sheet'!F8/'Income-Statement'!F4,'Balance-Sheet'!G8/'Income-Statement'!G4),0.021)</f>
        <v>44238.9777831619</v>
      </c>
      <c r="J8" s="39" t="n">
        <f aca="false">'Income-Statement'!J4*IFERROR(AVERAGE('Balance-Sheet'!C8/'Income-Statement'!C4,'Balance-Sheet'!D8/'Income-Statement'!D4,'Balance-Sheet'!E8/'Income-Statement'!E4,'Balance-Sheet'!F8/'Income-Statement'!F4,'Balance-Sheet'!G8/'Income-Statement'!G4),0.021)</f>
        <v>46229.7317834042</v>
      </c>
      <c r="K8" s="39" t="n">
        <f aca="false">'Income-Statement'!K4*IFERROR(AVERAGE('Balance-Sheet'!C8/'Income-Statement'!C4,'Balance-Sheet'!D8/'Income-Statement'!D4,'Balance-Sheet'!E8/'Income-Statement'!E4,'Balance-Sheet'!F8/'Income-Statement'!F4,'Balance-Sheet'!G8/'Income-Statement'!G4),0.021)</f>
        <v>48310.0697136574</v>
      </c>
      <c r="L8" s="39" t="n">
        <f aca="false">'Income-Statement'!L4*IFERROR(AVERAGE('Balance-Sheet'!C8/'Income-Statement'!C4,'Balance-Sheet'!D8/'Income-Statement'!D4,'Balance-Sheet'!E8/'Income-Statement'!E4,'Balance-Sheet'!F8/'Income-Statement'!F4,'Balance-Sheet'!G8/'Income-Statement'!G4),0.021)</f>
        <v>50725.5731993403</v>
      </c>
    </row>
    <row r="9" customFormat="false" ht="15.75" hidden="false" customHeight="true" outlineLevel="0" collapsed="false">
      <c r="B9" s="40" t="s">
        <v>96</v>
      </c>
      <c r="C9" s="47" t="n">
        <f aca="false">SUM(C5:C8)</f>
        <v>770167</v>
      </c>
      <c r="D9" s="47" t="n">
        <f aca="false">SUM(D5:D8)</f>
        <v>718920</v>
      </c>
      <c r="E9" s="47" t="n">
        <f aca="false">SUM(E5:E8)</f>
        <v>914405</v>
      </c>
      <c r="F9" s="47" t="n">
        <f aca="false">SUM(F5:F8)</f>
        <v>826766</v>
      </c>
      <c r="G9" s="47" t="n">
        <f aca="false">SUM(G5:G8)</f>
        <v>660326</v>
      </c>
      <c r="H9" s="47" t="n">
        <f aca="false">SUM(H5:H8)</f>
        <v>884097.96947182</v>
      </c>
      <c r="I9" s="47" t="n">
        <f aca="false">SUM(I5:I8)</f>
        <v>1089487.06244141</v>
      </c>
      <c r="J9" s="47" t="n">
        <f aca="false">SUM(J5:J8)</f>
        <v>1316037.35364493</v>
      </c>
      <c r="K9" s="47" t="n">
        <f aca="false">SUM(K5:K8)</f>
        <v>1559636.56129514</v>
      </c>
      <c r="L9" s="47" t="n">
        <f aca="false">SUM(L5:L8)</f>
        <v>1822095.53302665</v>
      </c>
    </row>
    <row r="10" customFormat="false" ht="15.75" hidden="false" customHeight="true" outlineLevel="0" collapsed="false">
      <c r="B10" s="37" t="s">
        <v>97</v>
      </c>
      <c r="C10" s="38" t="n">
        <v>119044</v>
      </c>
      <c r="D10" s="38" t="n">
        <v>124587</v>
      </c>
      <c r="E10" s="38" t="n">
        <v>130714</v>
      </c>
      <c r="F10" s="38" t="n">
        <v>126270</v>
      </c>
      <c r="G10" s="38" t="n">
        <v>142105</v>
      </c>
      <c r="H10" s="39" t="n">
        <f aca="false">G10+'Income-Statement'!H4*Assumptions!H15-'Income-Statement'!H4*Assumptions!H16</f>
        <v>130445.59744</v>
      </c>
      <c r="I10" s="39" t="n">
        <f aca="false">H10+'Income-Statement'!I4*Assumptions!I15-'Income-Statement'!I4*Assumptions!I16</f>
        <v>118319.8187776</v>
      </c>
      <c r="J10" s="39" t="n">
        <f aca="false">I10+'Income-Statement'!J4*Assumptions!J15-'Income-Statement'!J4*Assumptions!J16</f>
        <v>103536.473625024</v>
      </c>
      <c r="K10" s="39" t="n">
        <f aca="false">J10+'Income-Statement'!K4*Assumptions!K15-'Income-Statement'!K4*Assumptions!K16</f>
        <v>88087.8779405821</v>
      </c>
      <c r="L10" s="39" t="n">
        <f aca="false">K10+'Income-Statement'!L4*Assumptions!L15-'Income-Statement'!L4*Assumptions!L16</f>
        <v>74184.1418245844</v>
      </c>
    </row>
    <row r="11" customFormat="false" ht="15.75" hidden="false" customHeight="true" outlineLevel="0" collapsed="false">
      <c r="B11" s="37" t="s">
        <v>98</v>
      </c>
      <c r="C11" s="38" t="n">
        <v>54971</v>
      </c>
      <c r="D11" s="38" t="n">
        <v>55406</v>
      </c>
      <c r="E11" s="38" t="n">
        <v>77556</v>
      </c>
      <c r="F11" s="38" t="n">
        <v>78279</v>
      </c>
      <c r="G11" s="38" t="n">
        <v>131531</v>
      </c>
      <c r="H11" s="39" t="n">
        <f aca="false">G11</f>
        <v>131531</v>
      </c>
      <c r="I11" s="39" t="n">
        <f aca="false">H11</f>
        <v>131531</v>
      </c>
      <c r="J11" s="39" t="n">
        <f aca="false">I11</f>
        <v>131531</v>
      </c>
      <c r="K11" s="39" t="n">
        <f aca="false">J11</f>
        <v>131531</v>
      </c>
      <c r="L11" s="39" t="n">
        <f aca="false">K11</f>
        <v>131531</v>
      </c>
    </row>
    <row r="12" customFormat="false" ht="15.75" hidden="false" customHeight="true" outlineLevel="0" collapsed="false">
      <c r="B12" s="37" t="s">
        <v>99</v>
      </c>
      <c r="C12" s="38" t="n">
        <v>54293</v>
      </c>
      <c r="D12" s="38" t="n">
        <v>54293</v>
      </c>
      <c r="E12" s="38" t="n">
        <v>54293</v>
      </c>
      <c r="F12" s="38" t="n">
        <v>72557</v>
      </c>
      <c r="G12" s="38" t="n">
        <v>72308</v>
      </c>
      <c r="H12" s="39" t="n">
        <f aca="false">G12</f>
        <v>72308</v>
      </c>
      <c r="I12" s="39" t="n">
        <f aca="false">H12</f>
        <v>72308</v>
      </c>
      <c r="J12" s="39" t="n">
        <f aca="false">I12</f>
        <v>72308</v>
      </c>
      <c r="K12" s="39" t="n">
        <f aca="false">J12</f>
        <v>72308</v>
      </c>
      <c r="L12" s="39" t="n">
        <f aca="false">K12</f>
        <v>72308</v>
      </c>
    </row>
    <row r="13" customFormat="false" ht="15.75" hidden="false" customHeight="true" outlineLevel="0" collapsed="false">
      <c r="B13" s="37" t="s">
        <v>100</v>
      </c>
      <c r="C13" s="38" t="n">
        <v>95314</v>
      </c>
      <c r="D13" s="38" t="n">
        <v>99429</v>
      </c>
      <c r="E13" s="38" t="n">
        <v>117629</v>
      </c>
      <c r="F13" s="38" t="n">
        <v>172023</v>
      </c>
      <c r="G13" s="38" t="n">
        <v>219791</v>
      </c>
      <c r="H13" s="39" t="n">
        <f aca="false">G13</f>
        <v>219791</v>
      </c>
      <c r="I13" s="39" t="n">
        <f aca="false">H13</f>
        <v>219791</v>
      </c>
      <c r="J13" s="39" t="n">
        <f aca="false">I13</f>
        <v>219791</v>
      </c>
      <c r="K13" s="39" t="n">
        <f aca="false">J13</f>
        <v>219791</v>
      </c>
      <c r="L13" s="39" t="n">
        <f aca="false">K13</f>
        <v>219791</v>
      </c>
    </row>
    <row r="14" customFormat="false" ht="15.75" hidden="false" customHeight="true" outlineLevel="0" collapsed="false">
      <c r="B14" s="37" t="s">
        <v>101</v>
      </c>
      <c r="C14" s="38" t="n">
        <v>2575</v>
      </c>
      <c r="D14" s="38" t="n">
        <v>24130</v>
      </c>
      <c r="E14" s="38" t="n">
        <v>2595</v>
      </c>
      <c r="F14" s="38" t="n">
        <v>10225</v>
      </c>
      <c r="G14" s="38" t="n">
        <v>9357</v>
      </c>
      <c r="H14" s="39" t="n">
        <f aca="false">G14</f>
        <v>9357</v>
      </c>
      <c r="I14" s="39" t="n">
        <f aca="false">H14</f>
        <v>9357</v>
      </c>
      <c r="J14" s="39" t="n">
        <f aca="false">I14</f>
        <v>9357</v>
      </c>
      <c r="K14" s="39" t="n">
        <f aca="false">J14</f>
        <v>9357</v>
      </c>
      <c r="L14" s="39" t="n">
        <f aca="false">K14</f>
        <v>9357</v>
      </c>
    </row>
    <row r="15" customFormat="false" ht="15.75" hidden="false" customHeight="true" outlineLevel="0" collapsed="false">
      <c r="B15" s="40" t="s">
        <v>102</v>
      </c>
      <c r="C15" s="47" t="n">
        <f aca="false">SUM(C9:C14)</f>
        <v>1096364</v>
      </c>
      <c r="D15" s="47" t="n">
        <f aca="false">SUM(D9:D14)</f>
        <v>1076765</v>
      </c>
      <c r="E15" s="47" t="n">
        <f aca="false">SUM(E9:E14)</f>
        <v>1297192</v>
      </c>
      <c r="F15" s="47" t="n">
        <f aca="false">SUM(F9:F14)</f>
        <v>1286120</v>
      </c>
      <c r="G15" s="47" t="n">
        <f aca="false">SUM(G9:G14)</f>
        <v>1235418</v>
      </c>
      <c r="H15" s="47" t="n">
        <f aca="false">SUM(H9:H14)</f>
        <v>1447530.56691182</v>
      </c>
      <c r="I15" s="47" t="n">
        <f aca="false">SUM(I9:I14)</f>
        <v>1640793.88121901</v>
      </c>
      <c r="J15" s="47" t="n">
        <f aca="false">SUM(J9:J14)</f>
        <v>1852560.82726996</v>
      </c>
      <c r="K15" s="47" t="n">
        <f aca="false">SUM(K9:K14)</f>
        <v>2080711.43923573</v>
      </c>
      <c r="L15" s="47" t="n">
        <f aca="false">SUM(L9:L14)</f>
        <v>2329266.67485124</v>
      </c>
    </row>
    <row r="16" customFormat="false" ht="15.75" hidden="false" customHeight="true" outlineLevel="0" collapsed="false">
      <c r="B16" s="6" t="s">
        <v>103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.75" hidden="false" customHeight="true" outlineLevel="0" collapsed="false">
      <c r="B17" s="37" t="s">
        <v>104</v>
      </c>
      <c r="C17" s="38" t="n">
        <v>191319</v>
      </c>
      <c r="D17" s="38" t="n">
        <v>140818</v>
      </c>
      <c r="E17" s="38" t="n">
        <v>190392</v>
      </c>
      <c r="F17" s="38" t="n">
        <v>158499</v>
      </c>
      <c r="G17" s="38" t="n">
        <v>131269</v>
      </c>
      <c r="H17" s="39" t="n">
        <f aca="false">'Income-Statement'!H5/365*Assumptions!H12</f>
        <v>140615.589230466</v>
      </c>
      <c r="I17" s="39" t="n">
        <f aca="false">'Income-Statement'!I5/365*Assumptions!I12</f>
        <v>145553.639030672</v>
      </c>
      <c r="J17" s="39" t="n">
        <f aca="false">'Income-Statement'!J5/365*Assumptions!J12</f>
        <v>151386.083198434</v>
      </c>
      <c r="K17" s="39" t="n">
        <f aca="false">'Income-Statement'!K5/365*Assumptions!K12</f>
        <v>157448.701222257</v>
      </c>
      <c r="L17" s="39" t="n">
        <f aca="false">'Income-Statement'!L5/365*Assumptions!L12</f>
        <v>164533.892777259</v>
      </c>
    </row>
    <row r="18" customFormat="false" ht="15.75" hidden="false" customHeight="true" outlineLevel="0" collapsed="false">
      <c r="B18" s="37" t="s">
        <v>105</v>
      </c>
      <c r="C18" s="38" t="n">
        <v>132309</v>
      </c>
      <c r="D18" s="38" t="n">
        <v>211399</v>
      </c>
      <c r="E18" s="38" t="n">
        <v>130026</v>
      </c>
      <c r="F18" s="38" t="n">
        <v>128210</v>
      </c>
      <c r="G18" s="38" t="n">
        <v>144298</v>
      </c>
      <c r="H18" s="39" t="n">
        <f aca="false">'Income-Statement'!H4*AVERAGE('Balance-Sheet'!C18/'Income-Statement'!C4,'Balance-Sheet'!D18/'Income-Statement'!D4,'Balance-Sheet'!E18/'Income-Statement'!E4,'Balance-Sheet'!F18/'Income-Statement'!F4,'Balance-Sheet'!G18/'Income-Statement'!G4)</f>
        <v>175657.478749956</v>
      </c>
      <c r="I18" s="39" t="n">
        <f aca="false">'Income-Statement'!I4*AVERAGE('Balance-Sheet'!C18/'Income-Statement'!C4,'Balance-Sheet'!D18/'Income-Statement'!D4,'Balance-Sheet'!E18/'Income-Statement'!E4,'Balance-Sheet'!F18/'Income-Statement'!F4,'Balance-Sheet'!G18/'Income-Statement'!G4)</f>
        <v>182683.777899954</v>
      </c>
      <c r="J18" s="39" t="n">
        <f aca="false">'Income-Statement'!J4*AVERAGE('Balance-Sheet'!C18/'Income-Statement'!C4,'Balance-Sheet'!D18/'Income-Statement'!D4,'Balance-Sheet'!E18/'Income-Statement'!E4,'Balance-Sheet'!F18/'Income-Statement'!F4,'Balance-Sheet'!G18/'Income-Statement'!G4)</f>
        <v>190904.547905452</v>
      </c>
      <c r="K18" s="39" t="n">
        <f aca="false">'Income-Statement'!K4*AVERAGE('Balance-Sheet'!C18/'Income-Statement'!C4,'Balance-Sheet'!D18/'Income-Statement'!D4,'Balance-Sheet'!E18/'Income-Statement'!E4,'Balance-Sheet'!F18/'Income-Statement'!F4,'Balance-Sheet'!G18/'Income-Statement'!G4)</f>
        <v>199495.252561198</v>
      </c>
      <c r="L18" s="39" t="n">
        <f aca="false">'Income-Statement'!L4*AVERAGE('Balance-Sheet'!C18/'Income-Statement'!C4,'Balance-Sheet'!D18/'Income-Statement'!D4,'Balance-Sheet'!E18/'Income-Statement'!E4,'Balance-Sheet'!F18/'Income-Statement'!F4,'Balance-Sheet'!G18/'Income-Statement'!G4)</f>
        <v>209470.015189257</v>
      </c>
    </row>
    <row r="19" customFormat="false" ht="15.75" hidden="false" customHeight="true" outlineLevel="0" collapsed="false">
      <c r="B19" s="37" t="s">
        <v>106</v>
      </c>
      <c r="C19" s="38" t="n">
        <v>14514</v>
      </c>
      <c r="D19" s="38" t="n">
        <v>15289</v>
      </c>
      <c r="E19" s="38" t="n">
        <v>33489</v>
      </c>
      <c r="F19" s="38" t="n">
        <v>38089</v>
      </c>
      <c r="G19" s="38" t="n">
        <v>15897</v>
      </c>
      <c r="H19" s="39" t="n">
        <f aca="false">G19</f>
        <v>15897</v>
      </c>
      <c r="I19" s="39" t="n">
        <f aca="false">H19</f>
        <v>15897</v>
      </c>
      <c r="J19" s="39" t="n">
        <f aca="false">I19</f>
        <v>15897</v>
      </c>
      <c r="K19" s="39" t="n">
        <f aca="false">J19</f>
        <v>15897</v>
      </c>
      <c r="L19" s="39" t="n">
        <f aca="false">K19</f>
        <v>15897</v>
      </c>
    </row>
    <row r="20" customFormat="false" ht="15.75" hidden="false" customHeight="true" outlineLevel="0" collapsed="false">
      <c r="B20" s="37" t="s">
        <v>107</v>
      </c>
      <c r="C20" s="38" t="n">
        <v>30844</v>
      </c>
      <c r="D20" s="38" t="n">
        <v>4847</v>
      </c>
      <c r="E20" s="38" t="n">
        <v>23141</v>
      </c>
      <c r="F20" s="38" t="n">
        <v>28610</v>
      </c>
      <c r="G20" s="38" t="n">
        <v>22659</v>
      </c>
      <c r="H20" s="39" t="n">
        <f aca="false">'Income-Statement'!H7*AVERAGE('Balance-Sheet'!C20/'Income-Statement'!C7,'Balance-Sheet'!D20/'Income-Statement'!D7,'Balance-Sheet'!E20/'Income-Statement'!E7,'Balance-Sheet'!F20/'Income-Statement'!F7,'Balance-Sheet'!G20/'Income-Statement'!G7)</f>
        <v>28097.9864913983</v>
      </c>
      <c r="I20" s="39" t="n">
        <f aca="false">'Income-Statement'!I7*AVERAGE('Balance-Sheet'!C20/'Income-Statement'!C7,'Balance-Sheet'!D20/'Income-Statement'!D7,'Balance-Sheet'!E20/'Income-Statement'!E7,'Balance-Sheet'!F20/'Income-Statement'!F7,'Balance-Sheet'!G20/'Income-Statement'!G7)</f>
        <v>29030.0772467804</v>
      </c>
      <c r="J20" s="39" t="n">
        <f aca="false">'Income-Statement'!J7*AVERAGE('Balance-Sheet'!C20/'Income-Statement'!C7,'Balance-Sheet'!D20/'Income-Statement'!D7,'Balance-Sheet'!E20/'Income-Statement'!E7,'Balance-Sheet'!F20/'Income-Statement'!F7,'Balance-Sheet'!G20/'Income-Statement'!G7)</f>
        <v>30135.9697269193</v>
      </c>
      <c r="K20" s="39" t="n">
        <f aca="false">'Income-Statement'!K7*AVERAGE('Balance-Sheet'!C20/'Income-Statement'!C7,'Balance-Sheet'!D20/'Income-Statement'!D7,'Balance-Sheet'!E20/'Income-Statement'!E7,'Balance-Sheet'!F20/'Income-Statement'!F7,'Balance-Sheet'!G20/'Income-Statement'!G7)</f>
        <v>31352.4338707742</v>
      </c>
      <c r="L20" s="39" t="n">
        <f aca="false">'Income-Statement'!L7*AVERAGE('Balance-Sheet'!C20/'Income-Statement'!C7,'Balance-Sheet'!D20/'Income-Statement'!D7,'Balance-Sheet'!E20/'Income-Statement'!E7,'Balance-Sheet'!F20/'Income-Statement'!F7,'Balance-Sheet'!G20/'Income-Statement'!G7)</f>
        <v>32773.4183457636</v>
      </c>
    </row>
    <row r="21" customFormat="false" ht="15.75" hidden="false" customHeight="true" outlineLevel="0" collapsed="false">
      <c r="B21" s="37" t="s">
        <v>108</v>
      </c>
      <c r="C21" s="38" t="n">
        <v>10167</v>
      </c>
      <c r="D21" s="38" t="n">
        <v>12076</v>
      </c>
      <c r="E21" s="38" t="n">
        <v>14726</v>
      </c>
      <c r="F21" s="38" t="n">
        <v>19621</v>
      </c>
      <c r="G21" s="38" t="n">
        <v>15044</v>
      </c>
      <c r="H21" s="39" t="n">
        <f aca="false">G21</f>
        <v>15044</v>
      </c>
      <c r="I21" s="39" t="n">
        <f aca="false">H21</f>
        <v>15044</v>
      </c>
      <c r="J21" s="39" t="n">
        <f aca="false">I21</f>
        <v>15044</v>
      </c>
      <c r="K21" s="39" t="n">
        <f aca="false">J21</f>
        <v>15044</v>
      </c>
      <c r="L21" s="39" t="n">
        <f aca="false">K21</f>
        <v>15044</v>
      </c>
    </row>
    <row r="22" customFormat="false" ht="15.75" hidden="false" customHeight="true" outlineLevel="0" collapsed="false">
      <c r="B22" s="37" t="s">
        <v>109</v>
      </c>
      <c r="C22" s="38" t="n">
        <v>24560</v>
      </c>
      <c r="D22" s="38" t="n">
        <v>24611</v>
      </c>
      <c r="E22" s="38" t="n">
        <v>6579</v>
      </c>
      <c r="F22" s="38" t="n">
        <v>6475</v>
      </c>
      <c r="G22" s="38" t="n">
        <v>5172</v>
      </c>
      <c r="H22" s="39" t="n">
        <f aca="false">G22</f>
        <v>5172</v>
      </c>
      <c r="I22" s="39" t="n">
        <f aca="false">H22</f>
        <v>5172</v>
      </c>
      <c r="J22" s="39" t="n">
        <f aca="false">I22</f>
        <v>5172</v>
      </c>
      <c r="K22" s="39" t="n">
        <f aca="false">J22</f>
        <v>5172</v>
      </c>
      <c r="L22" s="39" t="n">
        <f aca="false">K22</f>
        <v>5172</v>
      </c>
    </row>
    <row r="23" customFormat="false" ht="15.75" hidden="false" customHeight="true" outlineLevel="0" collapsed="false">
      <c r="B23" s="40" t="s">
        <v>110</v>
      </c>
      <c r="C23" s="47" t="n">
        <f aca="false">SUM(C17:C22)</f>
        <v>403713</v>
      </c>
      <c r="D23" s="47" t="n">
        <f aca="false">SUM(D17:D22)</f>
        <v>409040</v>
      </c>
      <c r="E23" s="47" t="n">
        <f aca="false">SUM(E17:E22)</f>
        <v>398353</v>
      </c>
      <c r="F23" s="47" t="n">
        <f aca="false">SUM(F17:F22)</f>
        <v>379504</v>
      </c>
      <c r="G23" s="47" t="n">
        <f aca="false">SUM(G17:G22)</f>
        <v>334339</v>
      </c>
      <c r="H23" s="47" t="n">
        <f aca="false">SUM(H17:H22)</f>
        <v>380484.05447182</v>
      </c>
      <c r="I23" s="47" t="n">
        <f aca="false">SUM(I17:I22)</f>
        <v>393380.494177407</v>
      </c>
      <c r="J23" s="47" t="n">
        <f aca="false">SUM(J17:J22)</f>
        <v>408539.600830805</v>
      </c>
      <c r="K23" s="47" t="n">
        <f aca="false">SUM(K17:K22)</f>
        <v>424409.387654229</v>
      </c>
      <c r="L23" s="47" t="n">
        <f aca="false">SUM(L17:L22)</f>
        <v>442890.32631228</v>
      </c>
    </row>
    <row r="24" customFormat="false" ht="15.75" hidden="false" customHeight="true" outlineLevel="0" collapsed="false">
      <c r="B24" s="37" t="s">
        <v>111</v>
      </c>
      <c r="C24" s="38" t="n">
        <v>95741</v>
      </c>
      <c r="D24" s="38" t="n">
        <v>71741</v>
      </c>
      <c r="E24" s="38" t="n">
        <v>78645</v>
      </c>
      <c r="F24" s="38" t="n">
        <v>72821</v>
      </c>
      <c r="G24" s="38" t="n">
        <v>68301</v>
      </c>
      <c r="H24" s="39" t="n">
        <f aca="false">MAX(G24-4219,0)</f>
        <v>64082</v>
      </c>
      <c r="I24" s="39" t="n">
        <f aca="false">MAX(H24-4219,0)</f>
        <v>59863</v>
      </c>
      <c r="J24" s="39" t="n">
        <f aca="false">MAX(I24-4219,0)</f>
        <v>55644</v>
      </c>
      <c r="K24" s="39" t="n">
        <f aca="false">MAX(J24-4219,0)</f>
        <v>51425</v>
      </c>
      <c r="L24" s="39" t="n">
        <f aca="false">MAX(K24-4219,0)</f>
        <v>47206</v>
      </c>
    </row>
    <row r="25" customFormat="false" ht="15.75" hidden="false" customHeight="true" outlineLevel="0" collapsed="false">
      <c r="B25" s="37" t="s">
        <v>112</v>
      </c>
      <c r="C25" s="38" t="n">
        <v>55940</v>
      </c>
      <c r="D25" s="38" t="n">
        <v>55649</v>
      </c>
      <c r="E25" s="38" t="n">
        <v>76163</v>
      </c>
      <c r="F25" s="38" t="n">
        <v>73586</v>
      </c>
      <c r="G25" s="38" t="n">
        <v>139945</v>
      </c>
      <c r="H25" s="39" t="n">
        <f aca="false">G25</f>
        <v>139945</v>
      </c>
      <c r="I25" s="39" t="n">
        <f aca="false">H25</f>
        <v>139945</v>
      </c>
      <c r="J25" s="39" t="n">
        <f aca="false">I25</f>
        <v>139945</v>
      </c>
      <c r="K25" s="39" t="n">
        <f aca="false">J25</f>
        <v>139945</v>
      </c>
      <c r="L25" s="39" t="n">
        <f aca="false">K25</f>
        <v>139945</v>
      </c>
    </row>
    <row r="26" customFormat="false" ht="15.75" hidden="false" customHeight="true" outlineLevel="0" collapsed="false">
      <c r="B26" s="37" t="s">
        <v>113</v>
      </c>
      <c r="C26" s="38" t="n">
        <v>23147</v>
      </c>
      <c r="D26" s="38" t="n">
        <v>13858</v>
      </c>
      <c r="E26" s="38" t="n">
        <v>20421</v>
      </c>
      <c r="F26" s="38" t="n">
        <v>20102</v>
      </c>
      <c r="G26" s="38" t="n">
        <v>42557</v>
      </c>
      <c r="H26" s="39" t="n">
        <f aca="false">G26</f>
        <v>42557</v>
      </c>
      <c r="I26" s="39" t="n">
        <f aca="false">H26</f>
        <v>42557</v>
      </c>
      <c r="J26" s="39" t="n">
        <f aca="false">I26</f>
        <v>42557</v>
      </c>
      <c r="K26" s="39" t="n">
        <f aca="false">J26</f>
        <v>42557</v>
      </c>
      <c r="L26" s="39" t="n">
        <f aca="false">K26</f>
        <v>42557</v>
      </c>
    </row>
    <row r="27" customFormat="false" ht="15.75" hidden="false" customHeight="true" outlineLevel="0" collapsed="false">
      <c r="B27" s="40" t="s">
        <v>114</v>
      </c>
      <c r="C27" s="47" t="n">
        <f aca="false">SUM(C23:C26)</f>
        <v>578541</v>
      </c>
      <c r="D27" s="47" t="n">
        <f aca="false">SUM(D23:D26)</f>
        <v>550288</v>
      </c>
      <c r="E27" s="47" t="n">
        <f aca="false">SUM(E23:E26)</f>
        <v>573582</v>
      </c>
      <c r="F27" s="47" t="n">
        <f aca="false">SUM(F23:F26)</f>
        <v>546013</v>
      </c>
      <c r="G27" s="47" t="n">
        <f aca="false">SUM(G23:G26)</f>
        <v>585142</v>
      </c>
      <c r="H27" s="47" t="n">
        <f aca="false">SUM(H23:H26)</f>
        <v>627068.05447182</v>
      </c>
      <c r="I27" s="47" t="n">
        <f aca="false">SUM(I23:I26)</f>
        <v>635745.494177406</v>
      </c>
      <c r="J27" s="47" t="n">
        <f aca="false">SUM(J23:J26)</f>
        <v>646685.600830806</v>
      </c>
      <c r="K27" s="47" t="n">
        <f aca="false">SUM(K23:K26)</f>
        <v>658336.387654229</v>
      </c>
      <c r="L27" s="47" t="n">
        <f aca="false">SUM(L23:L26)</f>
        <v>672598.32631228</v>
      </c>
    </row>
    <row r="28" customFormat="false" ht="15.75" hidden="false" customHeight="true" outlineLevel="0" collapsed="false">
      <c r="B28" s="6" t="s">
        <v>115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.75" hidden="false" customHeight="true" outlineLevel="0" collapsed="false">
      <c r="B29" s="37" t="s">
        <v>116</v>
      </c>
      <c r="C29" s="38" t="n">
        <v>877</v>
      </c>
      <c r="D29" s="38" t="n">
        <v>881</v>
      </c>
      <c r="E29" s="38" t="n">
        <v>886</v>
      </c>
      <c r="F29" s="38" t="n">
        <v>892</v>
      </c>
      <c r="G29" s="38" t="n">
        <v>900</v>
      </c>
      <c r="H29" s="38" t="n">
        <f aca="false">G29</f>
        <v>900</v>
      </c>
      <c r="I29" s="38" t="n">
        <f aca="false">G29</f>
        <v>900</v>
      </c>
      <c r="J29" s="38" t="n">
        <f aca="false">G29</f>
        <v>900</v>
      </c>
      <c r="K29" s="38" t="n">
        <f aca="false">G29</f>
        <v>900</v>
      </c>
      <c r="L29" s="38" t="n">
        <f aca="false">G29</f>
        <v>900</v>
      </c>
    </row>
    <row r="30" customFormat="false" ht="15.75" hidden="false" customHeight="true" outlineLevel="0" collapsed="false">
      <c r="B30" s="37" t="s">
        <v>117</v>
      </c>
      <c r="C30" s="38" t="n">
        <v>0</v>
      </c>
      <c r="D30" s="38" t="n">
        <v>-100025</v>
      </c>
      <c r="E30" s="38" t="n">
        <v>-100025</v>
      </c>
      <c r="F30" s="38" t="n">
        <v>-281587</v>
      </c>
      <c r="G30" s="38" t="n">
        <v>-602268</v>
      </c>
      <c r="H30" s="48" t="n">
        <f aca="false">G30</f>
        <v>-602268</v>
      </c>
      <c r="I30" s="48" t="n">
        <f aca="false">G30</f>
        <v>-602268</v>
      </c>
      <c r="J30" s="48" t="n">
        <f aca="false">G30</f>
        <v>-602268</v>
      </c>
      <c r="K30" s="48" t="n">
        <f aca="false">G30</f>
        <v>-602268</v>
      </c>
      <c r="L30" s="48" t="n">
        <f aca="false">G30</f>
        <v>-602268</v>
      </c>
    </row>
    <row r="31" customFormat="false" ht="15.75" hidden="false" customHeight="true" outlineLevel="0" collapsed="false">
      <c r="B31" s="37" t="s">
        <v>118</v>
      </c>
      <c r="C31" s="38" t="n">
        <v>337735</v>
      </c>
      <c r="D31" s="38" t="n">
        <v>357490</v>
      </c>
      <c r="E31" s="38" t="n">
        <v>386377</v>
      </c>
      <c r="F31" s="38" t="n">
        <v>405921</v>
      </c>
      <c r="G31" s="38" t="n">
        <v>471770</v>
      </c>
      <c r="H31" s="38" t="n">
        <f aca="false">G31</f>
        <v>471770</v>
      </c>
      <c r="I31" s="38" t="n">
        <f aca="false">G31</f>
        <v>471770</v>
      </c>
      <c r="J31" s="38" t="n">
        <f aca="false">G31</f>
        <v>471770</v>
      </c>
      <c r="K31" s="38" t="n">
        <f aca="false">G31</f>
        <v>471770</v>
      </c>
      <c r="L31" s="38" t="n">
        <f aca="false">G31</f>
        <v>471770</v>
      </c>
    </row>
    <row r="32" customFormat="false" ht="15.75" hidden="false" customHeight="true" outlineLevel="0" collapsed="false">
      <c r="B32" s="37" t="s">
        <v>119</v>
      </c>
      <c r="C32" s="38" t="n">
        <v>178858</v>
      </c>
      <c r="D32" s="38" t="n">
        <v>268551</v>
      </c>
      <c r="E32" s="38" t="n">
        <v>438436</v>
      </c>
      <c r="F32" s="38" t="n">
        <v>614125</v>
      </c>
      <c r="G32" s="38" t="n">
        <v>779512</v>
      </c>
      <c r="H32" s="39" t="n">
        <f aca="false">G32+'Income-Statement'!H13</f>
        <v>949698.51244</v>
      </c>
      <c r="I32" s="39" t="n">
        <f aca="false">H32+'Income-Statement'!I13</f>
        <v>1134284.3870416</v>
      </c>
      <c r="J32" s="39" t="n">
        <f aca="false">I32+'Income-Statement'!J13</f>
        <v>1335111.22643915</v>
      </c>
      <c r="K32" s="39" t="n">
        <f aca="false">J32+'Income-Statement'!K13</f>
        <v>1551611.0515815</v>
      </c>
      <c r="L32" s="39" t="n">
        <f aca="false">K32+'Income-Statement'!L13</f>
        <v>1785904.34853896</v>
      </c>
    </row>
    <row r="33" customFormat="false" ht="15.75" hidden="false" customHeight="true" outlineLevel="0" collapsed="false">
      <c r="B33" s="37" t="s">
        <v>120</v>
      </c>
      <c r="C33" s="38" t="n">
        <v>353</v>
      </c>
      <c r="D33" s="38" t="n">
        <v>-420</v>
      </c>
      <c r="E33" s="38" t="n">
        <v>-2064</v>
      </c>
      <c r="F33" s="38" t="n">
        <v>756</v>
      </c>
      <c r="G33" s="38" t="n">
        <v>362</v>
      </c>
      <c r="H33" s="48" t="n">
        <f aca="false">G33</f>
        <v>362</v>
      </c>
      <c r="I33" s="48" t="n">
        <f aca="false">G33</f>
        <v>362</v>
      </c>
      <c r="J33" s="48" t="n">
        <f aca="false">G33</f>
        <v>362</v>
      </c>
      <c r="K33" s="48" t="n">
        <f aca="false">G33</f>
        <v>362</v>
      </c>
      <c r="L33" s="48" t="n">
        <f aca="false">G33</f>
        <v>362</v>
      </c>
    </row>
    <row r="34" customFormat="false" ht="15.75" hidden="false" customHeight="true" outlineLevel="0" collapsed="false">
      <c r="B34" s="40" t="s">
        <v>121</v>
      </c>
      <c r="C34" s="47" t="n">
        <f aca="false">SUM(C29:C33)</f>
        <v>517823</v>
      </c>
      <c r="D34" s="47" t="n">
        <f aca="false">SUM(D29:D33)</f>
        <v>526477</v>
      </c>
      <c r="E34" s="47" t="n">
        <f aca="false">SUM(E29:E33)</f>
        <v>723610</v>
      </c>
      <c r="F34" s="47" t="n">
        <f aca="false">SUM(F29:F33)</f>
        <v>740107</v>
      </c>
      <c r="G34" s="47" t="n">
        <f aca="false">SUM(G29:G33)</f>
        <v>650276</v>
      </c>
      <c r="H34" s="47" t="n">
        <f aca="false">SUM(H29:H33)</f>
        <v>820462.51244</v>
      </c>
      <c r="I34" s="47" t="n">
        <f aca="false">SUM(I29:I33)</f>
        <v>1005048.3870416</v>
      </c>
      <c r="J34" s="47" t="n">
        <f aca="false">SUM(J29:J33)</f>
        <v>1205875.22643915</v>
      </c>
      <c r="K34" s="47" t="n">
        <f aca="false">SUM(K29:K33)</f>
        <v>1422375.0515815</v>
      </c>
      <c r="L34" s="47" t="n">
        <f aca="false">SUM(L29:L33)</f>
        <v>1656668.34853896</v>
      </c>
    </row>
    <row r="35" customFormat="false" ht="15.75" hidden="false" customHeight="true" outlineLevel="0" collapsed="false">
      <c r="B35" s="40" t="s">
        <v>122</v>
      </c>
      <c r="C35" s="47" t="n">
        <f aca="false">C27+C34</f>
        <v>1096364</v>
      </c>
      <c r="D35" s="47" t="n">
        <f aca="false">D27+D34</f>
        <v>1076765</v>
      </c>
      <c r="E35" s="47" t="n">
        <f aca="false">E27+E34</f>
        <v>1297192</v>
      </c>
      <c r="F35" s="47" t="n">
        <f aca="false">F27+F34</f>
        <v>1286120</v>
      </c>
      <c r="G35" s="47" t="n">
        <f aca="false">G27+G34</f>
        <v>1235418</v>
      </c>
      <c r="H35" s="47" t="n">
        <f aca="false">H27+H34</f>
        <v>1447530.56691182</v>
      </c>
      <c r="I35" s="47" t="n">
        <f aca="false">I27+I34</f>
        <v>1640793.88121901</v>
      </c>
      <c r="J35" s="47" t="n">
        <f aca="false">J27+J34</f>
        <v>1852560.82726996</v>
      </c>
      <c r="K35" s="47" t="n">
        <f aca="false">K27+K34</f>
        <v>2080711.43923573</v>
      </c>
      <c r="L35" s="47" t="n">
        <f aca="false">L27+L34</f>
        <v>2329266.67485124</v>
      </c>
    </row>
    <row r="36" customFormat="false" ht="15" hidden="false" customHeight="true" outlineLevel="0" collapsed="false">
      <c r="C36" s="20" t="str">
        <f aca="false">IF(C15=C35,"CHECK","BREAK")</f>
        <v>CHECK</v>
      </c>
      <c r="D36" s="20" t="str">
        <f aca="false">IF(D15=D35,"CHECK","BREAK")</f>
        <v>CHECK</v>
      </c>
      <c r="E36" s="20" t="str">
        <f aca="false">IF(E15=E35,"CHECK","BREAK")</f>
        <v>CHECK</v>
      </c>
      <c r="F36" s="20" t="str">
        <f aca="false">IF(F15=F35,"CHECK","BREAK")</f>
        <v>CHECK</v>
      </c>
      <c r="G36" s="20" t="str">
        <f aca="false">IF(G15=G35,"CHECK","BREAK")</f>
        <v>CHECK</v>
      </c>
      <c r="H36" s="20" t="str">
        <f aca="false">IF(ROUND(H15,0)=ROUND(H35,0),"CHECK","BREAK")</f>
        <v>CHECK</v>
      </c>
      <c r="I36" s="20" t="str">
        <f aca="false">IF(ROUND(I15,0)=ROUND(I35,0),"CHECK","BREAK")</f>
        <v>CHECK</v>
      </c>
      <c r="J36" s="20" t="str">
        <f aca="false">IF(ROUND(J15,0)=ROUND(J35,0),"CHECK","BREAK")</f>
        <v>CHECK</v>
      </c>
      <c r="K36" s="20" t="str">
        <f aca="false">IF(ROUND(K15,0)=ROUND(K35,0),"CHECK","BREAK")</f>
        <v>CHECK</v>
      </c>
      <c r="L36" s="20" t="str">
        <f aca="false">IF(ROUND(L15,0)=ROUND(L35,0),"CHECK","BREAK")</f>
        <v>CHECK</v>
      </c>
    </row>
    <row r="37" customFormat="false" ht="15.75" hidden="false" customHeight="true" outlineLevel="0" collapsed="false">
      <c r="B37" s="49" t="s">
        <v>123</v>
      </c>
      <c r="C37" s="50" t="str">
        <f aca="false">IF(ABS(C15-C35)&lt;1,"✓ Balanced",C15-C35)</f>
        <v>✓ Balanced</v>
      </c>
      <c r="D37" s="50" t="str">
        <f aca="false">IF(ABS(D15-D35)&lt;1,"✓ Balanced",D15-D35)</f>
        <v>✓ Balanced</v>
      </c>
      <c r="E37" s="50" t="str">
        <f aca="false">IF(ABS(E15-E35)&lt;1,"✓ Balanced",E15-E35)</f>
        <v>✓ Balanced</v>
      </c>
      <c r="F37" s="50" t="str">
        <f aca="false">IF(ABS(F15-F35)&lt;1,"✓ Balanced",F15-F35)</f>
        <v>✓ Balanced</v>
      </c>
      <c r="G37" s="50" t="str">
        <f aca="false">IF(ABS(G15-G35)&lt;1,"✓ Balanced",G15-G35)</f>
        <v>✓ Balanced</v>
      </c>
      <c r="H37" s="50" t="str">
        <f aca="false">IF(ABS(H15-H35)&lt;1,"✓ Balanced",H15-H35)</f>
        <v>✓ Balanced</v>
      </c>
      <c r="I37" s="50" t="str">
        <f aca="false">IF(ABS(I15-I35)&lt;1,"✓ Balanced",I15-I35)</f>
        <v>✓ Balanced</v>
      </c>
      <c r="J37" s="50" t="str">
        <f aca="false">IF(ABS(J15-J35)&lt;1,"✓ Balanced",J15-J35)</f>
        <v>✓ Balanced</v>
      </c>
      <c r="K37" s="50" t="str">
        <f aca="false">IF(ABS(K15-K35)&lt;1,"✓ Balanced",K15-K35)</f>
        <v>✓ Balanced</v>
      </c>
      <c r="L37" s="50" t="str">
        <f aca="false">IF(ABS(L15-L35)&lt;1,"✓ Balanced",L15-L35)</f>
        <v>✓ Balanced</v>
      </c>
    </row>
    <row r="38" customFormat="false" ht="15" hidden="false" customHeight="true" outlineLevel="0" collapsed="false">
      <c r="B38" s="3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L3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C1" activeCellId="0" sqref="C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.09"/>
    <col collapsed="false" customWidth="true" hidden="false" outlineLevel="0" max="12" min="3" style="0" width="13"/>
  </cols>
  <sheetData>
    <row r="1" customFormat="false" ht="19.5" hidden="false" customHeight="true" outlineLevel="0" collapsed="false">
      <c r="B1" s="32" t="s">
        <v>125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5" hidden="false" customHeight="true" outlineLevel="0" collapsed="false">
      <c r="B2" s="34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customFormat="false" ht="18" hidden="false" customHeight="true" outlineLevel="0" collapsed="false">
      <c r="B3" s="35"/>
      <c r="C3" s="36" t="n">
        <v>2021</v>
      </c>
      <c r="D3" s="36" t="n">
        <v>2022</v>
      </c>
      <c r="E3" s="36" t="n">
        <v>2023</v>
      </c>
      <c r="F3" s="36" t="n">
        <v>2024</v>
      </c>
      <c r="G3" s="36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</row>
    <row r="4" customFormat="false" ht="15.75" hidden="false" customHeight="true" outlineLevel="0" collapsed="false">
      <c r="B4" s="6" t="s">
        <v>126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B5" s="37" t="s">
        <v>127</v>
      </c>
      <c r="C5" s="38" t="n">
        <v>212602</v>
      </c>
      <c r="D5" s="38" t="n">
        <v>89693</v>
      </c>
      <c r="E5" s="38" t="n">
        <v>169885</v>
      </c>
      <c r="F5" s="38" t="n">
        <v>175689</v>
      </c>
      <c r="G5" s="38" t="n">
        <v>165387</v>
      </c>
      <c r="H5" s="39" t="n">
        <f aca="false">'Income-Statement'!H13</f>
        <v>170186.51244</v>
      </c>
      <c r="I5" s="39" t="n">
        <f aca="false">'Income-Statement'!I13</f>
        <v>184585.8746016</v>
      </c>
      <c r="J5" s="39" t="n">
        <f aca="false">'Income-Statement'!J13</f>
        <v>200826.839397552</v>
      </c>
      <c r="K5" s="39" t="n">
        <f aca="false">'Income-Statement'!K13</f>
        <v>216499.825142345</v>
      </c>
      <c r="L5" s="39" t="n">
        <f aca="false">'Income-Statement'!L13</f>
        <v>234293.296957462</v>
      </c>
    </row>
    <row r="6" customFormat="false" ht="15.75" hidden="false" customHeight="true" outlineLevel="0" collapsed="false">
      <c r="B6" s="37" t="s">
        <v>128</v>
      </c>
      <c r="C6" s="38" t="n">
        <v>32070</v>
      </c>
      <c r="D6" s="38" t="n">
        <v>39847</v>
      </c>
      <c r="E6" s="38" t="n">
        <v>46434</v>
      </c>
      <c r="F6" s="38" t="n">
        <v>48132</v>
      </c>
      <c r="G6" s="38" t="n">
        <v>54232</v>
      </c>
      <c r="H6" s="39" t="n">
        <f aca="false">'Income-Statement'!H4*Assumptions!H16</f>
        <v>58297.0128</v>
      </c>
      <c r="I6" s="39" t="n">
        <f aca="false">'Income-Statement'!I4*Assumptions!I16</f>
        <v>60628.893312</v>
      </c>
      <c r="J6" s="39" t="n">
        <f aca="false">'Income-Statement'!J4*Assumptions!J16</f>
        <v>63357.19351104</v>
      </c>
      <c r="K6" s="39" t="n">
        <f aca="false">'Income-Statement'!K4*Assumptions!K16</f>
        <v>66208.2672190368</v>
      </c>
      <c r="L6" s="39" t="n">
        <f aca="false">'Income-Statement'!L4*Assumptions!L16</f>
        <v>67201.3912273224</v>
      </c>
    </row>
    <row r="7" customFormat="false" ht="15.75" hidden="false" customHeight="true" outlineLevel="0" collapsed="false">
      <c r="B7" s="37" t="s">
        <v>129</v>
      </c>
      <c r="C7" s="38" t="n">
        <v>679</v>
      </c>
      <c r="D7" s="38" t="n">
        <v>601</v>
      </c>
      <c r="E7" s="38" t="n">
        <v>604</v>
      </c>
      <c r="F7" s="38" t="n">
        <v>649</v>
      </c>
      <c r="G7" s="38" t="n">
        <v>653</v>
      </c>
      <c r="H7" s="48" t="n">
        <f aca="false">'Cash-Flow'!G7</f>
        <v>653</v>
      </c>
      <c r="I7" s="48" t="n">
        <f aca="false">'Cash-Flow'!G7</f>
        <v>653</v>
      </c>
      <c r="J7" s="48" t="n">
        <f aca="false">'Cash-Flow'!G7</f>
        <v>653</v>
      </c>
      <c r="K7" s="48" t="n">
        <f aca="false">'Cash-Flow'!G7</f>
        <v>653</v>
      </c>
      <c r="L7" s="48" t="n">
        <f aca="false">'Cash-Flow'!G7</f>
        <v>653</v>
      </c>
    </row>
    <row r="8" customFormat="false" ht="15.75" hidden="false" customHeight="true" outlineLevel="0" collapsed="false">
      <c r="B8" s="37" t="s">
        <v>130</v>
      </c>
      <c r="C8" s="38" t="n">
        <v>15474</v>
      </c>
      <c r="D8" s="38" t="n">
        <v>17799</v>
      </c>
      <c r="E8" s="38" t="n">
        <v>29800</v>
      </c>
      <c r="F8" s="38" t="n">
        <v>40719</v>
      </c>
      <c r="G8" s="38" t="n">
        <v>47688</v>
      </c>
      <c r="H8" s="39" t="n">
        <f aca="false">'Income-Statement'!H4*Assumptions!H17</f>
        <v>49595.52</v>
      </c>
      <c r="I8" s="39" t="n">
        <f aca="false">'Income-Statement'!I4*Assumptions!I17</f>
        <v>51579.3408</v>
      </c>
      <c r="J8" s="39" t="n">
        <f aca="false">'Income-Statement'!J4*Assumptions!J17</f>
        <v>53900.411136</v>
      </c>
      <c r="K8" s="39" t="n">
        <f aca="false">'Income-Statement'!K4*Assumptions!K17</f>
        <v>56325.92963712</v>
      </c>
      <c r="L8" s="39" t="n">
        <f aca="false">'Income-Statement'!L4*Assumptions!L17</f>
        <v>59142.226118976</v>
      </c>
    </row>
    <row r="9" customFormat="false" ht="15.75" hidden="false" customHeight="true" outlineLevel="0" collapsed="false">
      <c r="B9" s="37" t="s">
        <v>131</v>
      </c>
      <c r="C9" s="38" t="n">
        <v>5147</v>
      </c>
      <c r="D9" s="38" t="n">
        <v>-403</v>
      </c>
      <c r="E9" s="38" t="n">
        <v>25561</v>
      </c>
      <c r="F9" s="38" t="n">
        <v>-11167</v>
      </c>
      <c r="G9" s="38" t="n">
        <v>28081</v>
      </c>
      <c r="H9" s="38" t="n">
        <v>0</v>
      </c>
      <c r="I9" s="38" t="n">
        <v>0</v>
      </c>
      <c r="J9" s="38" t="n">
        <v>0</v>
      </c>
      <c r="K9" s="38" t="n">
        <v>0</v>
      </c>
      <c r="L9" s="38" t="n">
        <v>0</v>
      </c>
    </row>
    <row r="10" customFormat="false" ht="15.75" hidden="false" customHeight="true" outlineLevel="0" collapsed="false">
      <c r="B10" s="37" t="s">
        <v>132</v>
      </c>
      <c r="C10" s="38" t="n">
        <v>2473</v>
      </c>
      <c r="D10" s="38" t="n">
        <v>1229</v>
      </c>
      <c r="E10" s="38" t="n">
        <v>2927</v>
      </c>
      <c r="F10" s="38" t="n">
        <v>5490</v>
      </c>
      <c r="G10" s="38" t="n">
        <v>3795</v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</row>
    <row r="11" customFormat="false" ht="15.75" hidden="false" customHeight="true" outlineLevel="0" collapsed="false">
      <c r="B11" s="37" t="s">
        <v>133</v>
      </c>
      <c r="C11" s="38" t="n">
        <v>0</v>
      </c>
      <c r="D11" s="38" t="n">
        <v>0</v>
      </c>
      <c r="E11" s="38" t="n">
        <v>330</v>
      </c>
      <c r="F11" s="38" t="n">
        <v>0</v>
      </c>
      <c r="G11" s="38" t="n">
        <v>0</v>
      </c>
      <c r="H11" s="38" t="n">
        <v>0</v>
      </c>
      <c r="I11" s="38" t="n">
        <v>0</v>
      </c>
      <c r="J11" s="38" t="n">
        <v>0</v>
      </c>
      <c r="K11" s="38" t="n">
        <v>0</v>
      </c>
      <c r="L11" s="38" t="n">
        <v>0</v>
      </c>
    </row>
    <row r="12" customFormat="false" ht="15.75" hidden="false" customHeight="true" outlineLevel="0" collapsed="false">
      <c r="B12" s="37" t="s">
        <v>134</v>
      </c>
      <c r="C12" s="38" t="n">
        <v>0</v>
      </c>
      <c r="D12" s="38" t="n">
        <v>97176</v>
      </c>
      <c r="E12" s="38" t="n">
        <v>1895</v>
      </c>
      <c r="F12" s="38" t="n">
        <v>9939</v>
      </c>
      <c r="G12" s="38" t="n">
        <v>2900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</row>
    <row r="13" customFormat="false" ht="15.75" hidden="false" customHeight="true" outlineLevel="0" collapsed="false">
      <c r="B13" s="37" t="s">
        <v>135</v>
      </c>
      <c r="C13" s="38" t="n">
        <v>1022</v>
      </c>
      <c r="D13" s="38" t="n">
        <v>2039</v>
      </c>
      <c r="E13" s="38" t="n">
        <v>-6163</v>
      </c>
      <c r="F13" s="38" t="n">
        <v>9872</v>
      </c>
      <c r="G13" s="38" t="n">
        <v>-3881</v>
      </c>
      <c r="H13" s="38" t="n">
        <v>0</v>
      </c>
      <c r="I13" s="38" t="n">
        <v>0</v>
      </c>
      <c r="J13" s="38" t="n">
        <v>0</v>
      </c>
      <c r="K13" s="38" t="n">
        <v>0</v>
      </c>
      <c r="L13" s="38" t="n">
        <v>0</v>
      </c>
    </row>
    <row r="14" customFormat="false" ht="13.5" hidden="false" customHeight="true" outlineLevel="0" collapsed="false">
      <c r="B14" s="51" t="s">
        <v>136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 customFormat="false" ht="15.75" hidden="false" customHeight="true" outlineLevel="0" collapsed="false">
      <c r="B15" s="37" t="s">
        <v>137</v>
      </c>
      <c r="C15" s="38" t="n">
        <v>-44681</v>
      </c>
      <c r="D15" s="38" t="n">
        <v>30448</v>
      </c>
      <c r="E15" s="38" t="n">
        <v>-15683</v>
      </c>
      <c r="F15" s="38" t="n">
        <v>-23655</v>
      </c>
      <c r="G15" s="38" t="n">
        <v>-18161</v>
      </c>
      <c r="H15" s="39" t="n">
        <f aca="false">-('Balance-Sheet'!H6-'Balance-Sheet'!G6)</f>
        <v>-7645.98706849315</v>
      </c>
      <c r="I15" s="39" t="n">
        <f aca="false">-('Balance-Sheet'!I6-'Balance-Sheet'!H6)</f>
        <v>-5962.79948273973</v>
      </c>
      <c r="J15" s="39" t="n">
        <f aca="false">-('Balance-Sheet'!J6-'Balance-Sheet'!I6)</f>
        <v>-6976.47539480549</v>
      </c>
      <c r="K15" s="39" t="n">
        <f aca="false">-('Balance-Sheet'!K6-'Balance-Sheet'!J6)</f>
        <v>-7290.41678757171</v>
      </c>
      <c r="L15" s="39" t="n">
        <f aca="false">-('Balance-Sheet'!L6-'Balance-Sheet'!K6)</f>
        <v>-8464.98393668054</v>
      </c>
    </row>
    <row r="16" customFormat="false" ht="15.75" hidden="false" customHeight="true" outlineLevel="0" collapsed="false">
      <c r="B16" s="37" t="s">
        <v>94</v>
      </c>
      <c r="C16" s="38" t="n">
        <v>-179803</v>
      </c>
      <c r="D16" s="38" t="n">
        <v>-91624</v>
      </c>
      <c r="E16" s="38" t="n">
        <v>33675</v>
      </c>
      <c r="F16" s="38" t="n">
        <v>39751</v>
      </c>
      <c r="G16" s="38" t="n">
        <v>23857</v>
      </c>
      <c r="H16" s="39" t="n">
        <f aca="false">-('Balance-Sheet'!H7-'Balance-Sheet'!G7)</f>
        <v>-15568.1055824658</v>
      </c>
      <c r="I16" s="39" t="n">
        <f aca="false">-('Balance-Sheet'!I7-'Balance-Sheet'!H7)</f>
        <v>-6056.92653171724</v>
      </c>
      <c r="J16" s="39" t="n">
        <f aca="false">-('Balance-Sheet'!J7-'Balance-Sheet'!I7)</f>
        <v>-7628.11141799175</v>
      </c>
      <c r="K16" s="39" t="n">
        <f aca="false">-('Balance-Sheet'!K7-'Balance-Sheet'!J7)</f>
        <v>-10270.2299983649</v>
      </c>
      <c r="L16" s="39" t="n">
        <f aca="false">-('Balance-Sheet'!L7-'Balance-Sheet'!K7)</f>
        <v>-14856.0468088743</v>
      </c>
    </row>
    <row r="17" customFormat="false" ht="15.75" hidden="false" customHeight="true" outlineLevel="0" collapsed="false">
      <c r="B17" s="37" t="s">
        <v>138</v>
      </c>
      <c r="C17" s="38" t="n">
        <v>-10587</v>
      </c>
      <c r="D17" s="38" t="n">
        <v>-2187</v>
      </c>
      <c r="E17" s="38" t="n">
        <v>-7933</v>
      </c>
      <c r="F17" s="38" t="n">
        <v>9480</v>
      </c>
      <c r="G17" s="38" t="n">
        <v>6614</v>
      </c>
      <c r="H17" s="38" t="n">
        <v>0</v>
      </c>
      <c r="I17" s="38" t="n">
        <v>0</v>
      </c>
      <c r="J17" s="38" t="n">
        <v>0</v>
      </c>
      <c r="K17" s="38" t="n">
        <v>0</v>
      </c>
      <c r="L17" s="38" t="n">
        <v>0</v>
      </c>
    </row>
    <row r="18" customFormat="false" ht="15.75" hidden="false" customHeight="true" outlineLevel="0" collapsed="false">
      <c r="B18" s="37" t="s">
        <v>139</v>
      </c>
      <c r="C18" s="38" t="n">
        <v>112773</v>
      </c>
      <c r="D18" s="38" t="n">
        <v>-86242</v>
      </c>
      <c r="E18" s="38" t="n">
        <v>-15144</v>
      </c>
      <c r="F18" s="38" t="n">
        <v>-47020</v>
      </c>
      <c r="G18" s="38" t="n">
        <v>-27687</v>
      </c>
      <c r="H18" s="39" t="n">
        <f aca="false">('Balance-Sheet'!H17-'Balance-Sheet'!G17)+('Balance-Sheet'!H18-'Balance-Sheet'!G18)</f>
        <v>40706.0679804219</v>
      </c>
      <c r="I18" s="39" t="n">
        <f aca="false">('Balance-Sheet'!I17-'Balance-Sheet'!H17)+('Balance-Sheet'!I18-'Balance-Sheet'!H18)</f>
        <v>11964.3489502043</v>
      </c>
      <c r="J18" s="39" t="n">
        <f aca="false">('Balance-Sheet'!J17-'Balance-Sheet'!I17)+('Balance-Sheet'!J18-'Balance-Sheet'!I18)</f>
        <v>14053.21417326</v>
      </c>
      <c r="K18" s="39" t="n">
        <f aca="false">('Balance-Sheet'!K17-'Balance-Sheet'!J17)+('Balance-Sheet'!K18-'Balance-Sheet'!J18)</f>
        <v>14653.3226795689</v>
      </c>
      <c r="L18" s="39" t="n">
        <f aca="false">('Balance-Sheet'!L17-'Balance-Sheet'!K17)+('Balance-Sheet'!L18-'Balance-Sheet'!K18)</f>
        <v>17059.9541830614</v>
      </c>
    </row>
    <row r="19" customFormat="false" ht="15.75" hidden="false" customHeight="true" outlineLevel="0" collapsed="false">
      <c r="B19" s="37" t="s">
        <v>140</v>
      </c>
      <c r="C19" s="38" t="n">
        <v>-3781</v>
      </c>
      <c r="D19" s="38" t="n">
        <v>439</v>
      </c>
      <c r="E19" s="38" t="n">
        <v>18156</v>
      </c>
      <c r="F19" s="38" t="n">
        <v>669</v>
      </c>
      <c r="G19" s="38" t="n">
        <v>-23941</v>
      </c>
      <c r="H19" s="39" t="n">
        <f aca="false">'Balance-Sheet'!H19-'Balance-Sheet'!G19</f>
        <v>0</v>
      </c>
      <c r="I19" s="39" t="n">
        <f aca="false">'Balance-Sheet'!I19-'Balance-Sheet'!H19</f>
        <v>0</v>
      </c>
      <c r="J19" s="39" t="n">
        <f aca="false">'Balance-Sheet'!J19-'Balance-Sheet'!I19</f>
        <v>0</v>
      </c>
      <c r="K19" s="39" t="n">
        <f aca="false">'Balance-Sheet'!K19-'Balance-Sheet'!J19</f>
        <v>0</v>
      </c>
      <c r="L19" s="39" t="n">
        <f aca="false">'Balance-Sheet'!L19-'Balance-Sheet'!K19</f>
        <v>0</v>
      </c>
    </row>
    <row r="20" customFormat="false" ht="15.75" hidden="false" customHeight="true" outlineLevel="0" collapsed="false">
      <c r="B20" s="37" t="s">
        <v>141</v>
      </c>
      <c r="C20" s="38" t="n">
        <v>3132</v>
      </c>
      <c r="D20" s="38" t="n">
        <v>2079</v>
      </c>
      <c r="E20" s="38" t="n">
        <v>1598</v>
      </c>
      <c r="F20" s="38" t="n">
        <v>2838</v>
      </c>
      <c r="G20" s="38" t="n">
        <v>-4800</v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</row>
    <row r="21" customFormat="false" ht="15.75" hidden="false" customHeight="true" outlineLevel="0" collapsed="false">
      <c r="B21" s="40" t="s">
        <v>142</v>
      </c>
      <c r="C21" s="47" t="n">
        <f aca="false">SUM(C5:C20)</f>
        <v>146520</v>
      </c>
      <c r="D21" s="47" t="n">
        <f aca="false">SUM(D5:D20)</f>
        <v>100894</v>
      </c>
      <c r="E21" s="47" t="n">
        <f aca="false">SUM(E5:E20)</f>
        <v>285942</v>
      </c>
      <c r="F21" s="47" t="n">
        <f aca="false">SUM(F5:F20)</f>
        <v>261386</v>
      </c>
      <c r="G21" s="47" t="n">
        <f aca="false">SUM(G5:G20)</f>
        <v>254737</v>
      </c>
      <c r="H21" s="47" t="n">
        <f aca="false">SUM(H5:H20)</f>
        <v>296224.020569463</v>
      </c>
      <c r="I21" s="47" t="n">
        <f aca="false">SUM(I5:I20)</f>
        <v>297391.731649347</v>
      </c>
      <c r="J21" s="47" t="n">
        <f aca="false">SUM(J5:J20)</f>
        <v>318186.071405055</v>
      </c>
      <c r="K21" s="47" t="n">
        <f aca="false">SUM(K5:K20)</f>
        <v>336779.697892134</v>
      </c>
      <c r="L21" s="47" t="n">
        <f aca="false">SUM(L5:L20)</f>
        <v>355028.837741267</v>
      </c>
    </row>
    <row r="22" customFormat="false" ht="15.75" hidden="false" customHeight="true" outlineLevel="0" collapsed="false">
      <c r="B22" s="6" t="s">
        <v>143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.75" hidden="false" customHeight="true" outlineLevel="0" collapsed="false">
      <c r="B23" s="37" t="s">
        <v>144</v>
      </c>
      <c r="C23" s="38" t="n">
        <v>-56121</v>
      </c>
      <c r="D23" s="38" t="n">
        <v>-45929</v>
      </c>
      <c r="E23" s="38" t="n">
        <v>-50672</v>
      </c>
      <c r="F23" s="38" t="n">
        <v>-41832</v>
      </c>
      <c r="G23" s="38" t="n">
        <v>-42667</v>
      </c>
      <c r="H23" s="39" t="n">
        <f aca="false">-'Income-Statement'!H4*Assumptions!H15</f>
        <v>-46637.61024</v>
      </c>
      <c r="I23" s="39" t="n">
        <f aca="false">-'Income-Statement'!I4*Assumptions!I15</f>
        <v>-48503.1146496</v>
      </c>
      <c r="J23" s="39" t="n">
        <f aca="false">-'Income-Statement'!J4*Assumptions!J15</f>
        <v>-48573.848358464</v>
      </c>
      <c r="K23" s="39" t="n">
        <f aca="false">-'Income-Statement'!K4*Assumptions!K15</f>
        <v>-50759.6715345949</v>
      </c>
      <c r="L23" s="39" t="n">
        <f aca="false">-'Income-Statement'!L4*Assumptions!L15</f>
        <v>-53297.6551113246</v>
      </c>
    </row>
    <row r="24" customFormat="false" ht="15.75" hidden="false" customHeight="true" outlineLevel="0" collapsed="false">
      <c r="B24" s="37" t="s">
        <v>145</v>
      </c>
      <c r="C24" s="38" t="n">
        <v>0</v>
      </c>
      <c r="D24" s="38" t="n">
        <v>0</v>
      </c>
      <c r="E24" s="38" t="n">
        <v>0</v>
      </c>
      <c r="F24" s="38" t="n">
        <v>-36164</v>
      </c>
      <c r="G24" s="38" t="n">
        <v>0</v>
      </c>
      <c r="H24" s="38" t="n">
        <v>0</v>
      </c>
      <c r="I24" s="38" t="n">
        <v>0</v>
      </c>
      <c r="J24" s="38" t="n">
        <v>0</v>
      </c>
      <c r="K24" s="38" t="n">
        <v>0</v>
      </c>
      <c r="L24" s="38" t="n">
        <v>0</v>
      </c>
    </row>
    <row r="25" customFormat="false" ht="15.75" hidden="false" customHeight="true" outlineLevel="0" collapsed="false">
      <c r="B25" s="37" t="s">
        <v>146</v>
      </c>
      <c r="C25" s="38" t="n">
        <v>-9635</v>
      </c>
      <c r="D25" s="38" t="n">
        <v>-10981</v>
      </c>
      <c r="E25" s="38" t="n">
        <v>-22152</v>
      </c>
      <c r="F25" s="38" t="n">
        <v>-53452</v>
      </c>
      <c r="G25" s="38" t="n">
        <v>-59172</v>
      </c>
      <c r="H25" s="48" t="n">
        <f aca="false">AVERAGE('Cash-Flow'!C25:G25)</f>
        <v>-31078.4</v>
      </c>
      <c r="I25" s="48" t="n">
        <f aca="false">AVERAGE('Cash-Flow'!C25:G25)</f>
        <v>-31078.4</v>
      </c>
      <c r="J25" s="48" t="n">
        <f aca="false">AVERAGE('Cash-Flow'!C25:G25)</f>
        <v>-31078.4</v>
      </c>
      <c r="K25" s="48" t="n">
        <f aca="false">AVERAGE('Cash-Flow'!C25:G25)</f>
        <v>-31078.4</v>
      </c>
      <c r="L25" s="48" t="n">
        <f aca="false">AVERAGE('Cash-Flow'!C25:G25)</f>
        <v>-31078.4</v>
      </c>
    </row>
    <row r="26" customFormat="false" ht="15.75" hidden="false" customHeight="true" outlineLevel="0" collapsed="false">
      <c r="B26" s="40" t="s">
        <v>147</v>
      </c>
      <c r="C26" s="47" t="n">
        <f aca="false">SUM(C23:C25)</f>
        <v>-65756</v>
      </c>
      <c r="D26" s="47" t="n">
        <f aca="false">SUM(D23:D25)</f>
        <v>-56910</v>
      </c>
      <c r="E26" s="47" t="n">
        <f aca="false">SUM(E23:E25)</f>
        <v>-72824</v>
      </c>
      <c r="F26" s="47" t="n">
        <f aca="false">SUM(F23:F25)</f>
        <v>-131448</v>
      </c>
      <c r="G26" s="47" t="n">
        <f aca="false">SUM(G23:G25)</f>
        <v>-101839</v>
      </c>
      <c r="H26" s="47" t="n">
        <f aca="false">SUM(H23:H25)</f>
        <v>-77716.01024</v>
      </c>
      <c r="I26" s="47" t="n">
        <f aca="false">SUM(I23:I25)</f>
        <v>-79581.5146496</v>
      </c>
      <c r="J26" s="47" t="n">
        <f aca="false">SUM(J23:J25)</f>
        <v>-79652.248358464</v>
      </c>
      <c r="K26" s="47" t="n">
        <f aca="false">SUM(K23:K25)</f>
        <v>-81838.0715345949</v>
      </c>
      <c r="L26" s="47" t="n">
        <f aca="false">SUM(L23:L25)</f>
        <v>-84376.0551113246</v>
      </c>
    </row>
    <row r="27" customFormat="false" ht="15.75" hidden="false" customHeight="true" outlineLevel="0" collapsed="false">
      <c r="B27" s="6" t="s">
        <v>148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.75" hidden="false" customHeight="true" outlineLevel="0" collapsed="false">
      <c r="B28" s="37" t="s">
        <v>149</v>
      </c>
      <c r="C28" s="38" t="n">
        <v>-22500</v>
      </c>
      <c r="D28" s="38" t="n">
        <v>-22500</v>
      </c>
      <c r="E28" s="38" t="n">
        <v>-7734</v>
      </c>
      <c r="F28" s="38" t="n">
        <v>-4219</v>
      </c>
      <c r="G28" s="38" t="n">
        <v>-4219</v>
      </c>
      <c r="H28" s="48" t="n">
        <f aca="false">'Cash-Flow'!G28</f>
        <v>-4219</v>
      </c>
      <c r="I28" s="48" t="n">
        <f aca="false">'Cash-Flow'!G28</f>
        <v>-4219</v>
      </c>
      <c r="J28" s="48" t="n">
        <f aca="false">'Cash-Flow'!G28</f>
        <v>-4219</v>
      </c>
      <c r="K28" s="48" t="n">
        <f aca="false">'Cash-Flow'!G28</f>
        <v>-4219</v>
      </c>
      <c r="L28" s="48" t="n">
        <f aca="false">'Cash-Flow'!G28</f>
        <v>-4219</v>
      </c>
    </row>
    <row r="29" customFormat="false" ht="15.75" hidden="false" customHeight="true" outlineLevel="0" collapsed="false">
      <c r="B29" s="37" t="s">
        <v>150</v>
      </c>
      <c r="C29" s="38" t="n">
        <v>-3506</v>
      </c>
      <c r="D29" s="38" t="n">
        <v>-1861</v>
      </c>
      <c r="E29" s="38" t="n">
        <v>-2481</v>
      </c>
      <c r="F29" s="38" t="n">
        <v>-1463</v>
      </c>
      <c r="G29" s="38" t="n">
        <v>-1831</v>
      </c>
      <c r="H29" s="48" t="n">
        <f aca="false">'Cash-Flow'!G29</f>
        <v>-1831</v>
      </c>
      <c r="I29" s="48" t="n">
        <f aca="false">'Cash-Flow'!G29</f>
        <v>-1831</v>
      </c>
      <c r="J29" s="48" t="n">
        <f aca="false">'Cash-Flow'!G29</f>
        <v>-1831</v>
      </c>
      <c r="K29" s="48" t="n">
        <f aca="false">'Cash-Flow'!G29</f>
        <v>-1831</v>
      </c>
      <c r="L29" s="48" t="n">
        <f aca="false">'Cash-Flow'!G29</f>
        <v>-1831</v>
      </c>
    </row>
    <row r="30" customFormat="false" ht="15.75" hidden="false" customHeight="true" outlineLevel="0" collapsed="false">
      <c r="B30" s="37" t="s">
        <v>151</v>
      </c>
      <c r="C30" s="38" t="n">
        <v>4095</v>
      </c>
      <c r="D30" s="38" t="n">
        <v>3821</v>
      </c>
      <c r="E30" s="38" t="n">
        <v>-2824</v>
      </c>
      <c r="F30" s="38" t="n">
        <v>294</v>
      </c>
      <c r="G30" s="38" t="n">
        <v>0</v>
      </c>
      <c r="H30" s="38" t="n">
        <v>0</v>
      </c>
      <c r="I30" s="38" t="n">
        <v>0</v>
      </c>
      <c r="J30" s="38" t="n">
        <v>0</v>
      </c>
      <c r="K30" s="38" t="n">
        <v>0</v>
      </c>
      <c r="L30" s="38" t="n">
        <v>0</v>
      </c>
    </row>
    <row r="31" customFormat="false" ht="15.75" hidden="false" customHeight="true" outlineLevel="0" collapsed="false">
      <c r="B31" s="37" t="s">
        <v>152</v>
      </c>
      <c r="C31" s="38" t="n">
        <v>-1108</v>
      </c>
      <c r="D31" s="38" t="n">
        <v>-2063</v>
      </c>
      <c r="E31" s="38" t="n">
        <v>1573</v>
      </c>
      <c r="F31" s="38" t="n">
        <v>-3829</v>
      </c>
      <c r="G31" s="38" t="n">
        <v>-16000</v>
      </c>
      <c r="H31" s="48" t="n">
        <f aca="false">'Cash-Flow'!G31</f>
        <v>-16000</v>
      </c>
      <c r="I31" s="48" t="n">
        <f aca="false">'Cash-Flow'!G31</f>
        <v>-16000</v>
      </c>
      <c r="J31" s="48" t="n">
        <f aca="false">'Cash-Flow'!G31</f>
        <v>-16000</v>
      </c>
      <c r="K31" s="48" t="n">
        <f aca="false">'Cash-Flow'!G31</f>
        <v>-16000</v>
      </c>
      <c r="L31" s="48" t="n">
        <f aca="false">'Cash-Flow'!G31</f>
        <v>-16000</v>
      </c>
    </row>
    <row r="32" customFormat="false" ht="15.75" hidden="false" customHeight="true" outlineLevel="0" collapsed="false">
      <c r="B32" s="37" t="s">
        <v>153</v>
      </c>
      <c r="C32" s="38" t="n">
        <v>0</v>
      </c>
      <c r="D32" s="38" t="n">
        <v>-100025</v>
      </c>
      <c r="E32" s="38" t="n">
        <v>-2130</v>
      </c>
      <c r="F32" s="38" t="n">
        <v>-200000</v>
      </c>
      <c r="G32" s="38" t="n">
        <v>-297780</v>
      </c>
      <c r="H32" s="38" t="n">
        <v>0</v>
      </c>
      <c r="I32" s="38" t="n">
        <v>0</v>
      </c>
      <c r="J32" s="38" t="n">
        <v>0</v>
      </c>
      <c r="K32" s="38" t="n">
        <v>0</v>
      </c>
      <c r="L32" s="38" t="n">
        <v>0</v>
      </c>
    </row>
    <row r="33" customFormat="false" ht="15.75" hidden="false" customHeight="true" outlineLevel="0" collapsed="false">
      <c r="B33" s="37" t="s">
        <v>154</v>
      </c>
      <c r="C33" s="38" t="n">
        <v>0</v>
      </c>
      <c r="D33" s="38" t="n">
        <v>0</v>
      </c>
      <c r="E33" s="38" t="n">
        <v>0</v>
      </c>
      <c r="F33" s="38" t="n">
        <v>0</v>
      </c>
      <c r="G33" s="38" t="n">
        <v>-1562</v>
      </c>
      <c r="H33" s="38" t="n">
        <v>0</v>
      </c>
      <c r="I33" s="38" t="n">
        <v>0</v>
      </c>
      <c r="J33" s="38" t="n">
        <v>0</v>
      </c>
      <c r="K33" s="38" t="n">
        <v>0</v>
      </c>
      <c r="L33" s="38" t="n">
        <v>0</v>
      </c>
    </row>
    <row r="34" customFormat="false" ht="15.75" hidden="false" customHeight="true" outlineLevel="0" collapsed="false">
      <c r="B34" s="40" t="s">
        <v>155</v>
      </c>
      <c r="C34" s="47" t="n">
        <f aca="false">SUM(C28:C33)</f>
        <v>-23019</v>
      </c>
      <c r="D34" s="47" t="n">
        <f aca="false">SUM(D28:D33)</f>
        <v>-122628</v>
      </c>
      <c r="E34" s="47" t="n">
        <f aca="false">SUM(E28:E33)</f>
        <v>-13596</v>
      </c>
      <c r="F34" s="47" t="n">
        <f aca="false">SUM(F28:F33)</f>
        <v>-209217</v>
      </c>
      <c r="G34" s="47" t="n">
        <f aca="false">SUM(G28:G33)</f>
        <v>-321392</v>
      </c>
      <c r="H34" s="47" t="n">
        <f aca="false">SUM(H28:H33)</f>
        <v>-22050</v>
      </c>
      <c r="I34" s="47" t="n">
        <f aca="false">SUM(I28:I33)</f>
        <v>-22050</v>
      </c>
      <c r="J34" s="47" t="n">
        <f aca="false">SUM(J28:J33)</f>
        <v>-22050</v>
      </c>
      <c r="K34" s="47" t="n">
        <f aca="false">SUM(K28:K33)</f>
        <v>-22050</v>
      </c>
      <c r="L34" s="47" t="n">
        <f aca="false">SUM(L28:L33)</f>
        <v>-22050</v>
      </c>
    </row>
    <row r="35" customFormat="false" ht="15.75" hidden="false" customHeight="true" outlineLevel="0" collapsed="false">
      <c r="B35" s="37" t="s">
        <v>156</v>
      </c>
      <c r="C35" s="38" t="n">
        <v>1161</v>
      </c>
      <c r="D35" s="38" t="n">
        <v>1196</v>
      </c>
      <c r="E35" s="38" t="n">
        <v>4697</v>
      </c>
      <c r="F35" s="38" t="n">
        <v>-886</v>
      </c>
      <c r="G35" s="38" t="n">
        <v>-1959</v>
      </c>
      <c r="H35" s="38" t="n">
        <v>0</v>
      </c>
      <c r="I35" s="38" t="n">
        <v>0</v>
      </c>
      <c r="J35" s="38" t="n">
        <v>0</v>
      </c>
      <c r="K35" s="38" t="n">
        <v>0</v>
      </c>
      <c r="L35" s="38" t="n">
        <v>0</v>
      </c>
    </row>
    <row r="36" customFormat="false" ht="15.75" hidden="false" customHeight="true" outlineLevel="0" collapsed="false">
      <c r="B36" s="40" t="s">
        <v>157</v>
      </c>
      <c r="C36" s="47" t="n">
        <f aca="false">SUM(C21,C26,C34,C35)</f>
        <v>58906</v>
      </c>
      <c r="D36" s="47" t="n">
        <f aca="false">SUM(D21,D26,D34,D35)</f>
        <v>-77448</v>
      </c>
      <c r="E36" s="47" t="n">
        <f aca="false">SUM(E21,E26,E34,E35)</f>
        <v>204219</v>
      </c>
      <c r="F36" s="47" t="n">
        <f aca="false">SUM(F21,F26,F34,F35)</f>
        <v>-80165</v>
      </c>
      <c r="G36" s="47" t="n">
        <f aca="false">SUM(G21,G26,G34,G35)</f>
        <v>-170453</v>
      </c>
      <c r="H36" s="53" t="n">
        <f aca="false">'Balance-Sheet'!H5-'Balance-Sheet'!G5</f>
        <v>197969.398183205</v>
      </c>
      <c r="I36" s="53" t="n">
        <f aca="false">'Balance-Sheet'!I5-'Balance-Sheet'!H5</f>
        <v>191667.867809623</v>
      </c>
      <c r="J36" s="53" t="n">
        <f aca="false">'Balance-Sheet'!J5-'Balance-Sheet'!I5</f>
        <v>209954.950390487</v>
      </c>
      <c r="K36" s="53" t="n">
        <f aca="false">'Balance-Sheet'!K5-'Balance-Sheet'!J5</f>
        <v>223958.222934022</v>
      </c>
      <c r="L36" s="53" t="n">
        <f aca="false">'Balance-Sheet'!L5-'Balance-Sheet'!K5</f>
        <v>236722.437500272</v>
      </c>
    </row>
    <row r="37" customFormat="false" ht="15.75" hidden="false" customHeight="true" outlineLevel="0" collapsed="false">
      <c r="B37" s="37" t="s">
        <v>158</v>
      </c>
      <c r="C37" s="38" t="n">
        <v>253283</v>
      </c>
      <c r="D37" s="38" t="n">
        <v>312189</v>
      </c>
      <c r="E37" s="38" t="n">
        <v>234741</v>
      </c>
      <c r="F37" s="38" t="n">
        <v>438960</v>
      </c>
      <c r="G37" s="38" t="n">
        <v>358795</v>
      </c>
      <c r="H37" s="39" t="n">
        <f aca="false">G38</f>
        <v>188342</v>
      </c>
      <c r="I37" s="39" t="n">
        <f aca="false">H38</f>
        <v>386311.398183205</v>
      </c>
      <c r="J37" s="39" t="n">
        <f aca="false">I38</f>
        <v>577979.265992828</v>
      </c>
      <c r="K37" s="39" t="n">
        <f aca="false">J38</f>
        <v>787934.216383316</v>
      </c>
      <c r="L37" s="39" t="n">
        <f aca="false">K38</f>
        <v>1011892.43931734</v>
      </c>
    </row>
    <row r="38" customFormat="false" ht="15.75" hidden="false" customHeight="true" outlineLevel="0" collapsed="false">
      <c r="B38" s="40" t="s">
        <v>159</v>
      </c>
      <c r="C38" s="47" t="n">
        <f aca="false">IFERROR(C37+C36,0)</f>
        <v>312189</v>
      </c>
      <c r="D38" s="47" t="n">
        <f aca="false">IFERROR(D37+D36,0)</f>
        <v>234741</v>
      </c>
      <c r="E38" s="47" t="n">
        <f aca="false">IFERROR(E37+E36,0)</f>
        <v>438960</v>
      </c>
      <c r="F38" s="47" t="n">
        <f aca="false">IFERROR(F37+F36,0)</f>
        <v>358795</v>
      </c>
      <c r="G38" s="47" t="n">
        <f aca="false">IFERROR(G37+G36,0)</f>
        <v>188342</v>
      </c>
      <c r="H38" s="53" t="n">
        <f aca="false">'Balance-Sheet'!H5</f>
        <v>386311.398183205</v>
      </c>
      <c r="I38" s="53" t="n">
        <f aca="false">'Balance-Sheet'!I5</f>
        <v>577979.265992828</v>
      </c>
      <c r="J38" s="53" t="n">
        <f aca="false">'Balance-Sheet'!J5</f>
        <v>787934.216383316</v>
      </c>
      <c r="K38" s="53" t="n">
        <f aca="false">'Balance-Sheet'!K5</f>
        <v>1011892.43931734</v>
      </c>
      <c r="L38" s="53" t="n">
        <f aca="false">'Balance-Sheet'!L5</f>
        <v>1248614.87681761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0" activeCellId="0" sqref="E60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5.27"/>
    <col collapsed="false" customWidth="true" hidden="false" outlineLevel="0" max="12" min="3" style="0" width="14"/>
  </cols>
  <sheetData>
    <row r="1" customFormat="false" ht="19.5" hidden="false" customHeight="true" outlineLevel="0" collapsed="false">
      <c r="B1" s="54" t="s">
        <v>160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5" hidden="false" customHeight="true" outlineLevel="0" collapsed="false">
      <c r="B2" s="55" t="s">
        <v>161</v>
      </c>
    </row>
    <row r="3" customFormat="false" ht="15" hidden="false" customHeight="true" outlineLevel="0" collapsed="false">
      <c r="B3" s="56" t="s">
        <v>162</v>
      </c>
    </row>
    <row r="4" customFormat="false" ht="15" hidden="false" customHeight="true" outlineLevel="0" collapsed="false">
      <c r="B4" s="57" t="s">
        <v>163</v>
      </c>
      <c r="C4" s="58"/>
    </row>
    <row r="5" customFormat="false" ht="15" hidden="false" customHeight="true" outlineLevel="0" collapsed="false">
      <c r="B5" s="59" t="s">
        <v>164</v>
      </c>
      <c r="C5" s="60" t="n">
        <v>0.09</v>
      </c>
      <c r="D5" s="30" t="s">
        <v>165</v>
      </c>
    </row>
    <row r="6" customFormat="false" ht="15" hidden="false" customHeight="true" outlineLevel="0" collapsed="false">
      <c r="B6" s="59" t="s">
        <v>166</v>
      </c>
      <c r="C6" s="60" t="n">
        <v>0.025</v>
      </c>
    </row>
    <row r="7" customFormat="false" ht="15" hidden="false" customHeight="true" outlineLevel="0" collapsed="false">
      <c r="B7" s="61" t="s">
        <v>167</v>
      </c>
      <c r="C7" s="62" t="n">
        <v>0.25</v>
      </c>
    </row>
    <row r="8" customFormat="false" ht="15" hidden="false" customHeight="true" outlineLevel="0" collapsed="false">
      <c r="B8" s="59" t="s">
        <v>168</v>
      </c>
      <c r="C8" s="63" t="n">
        <v>83500</v>
      </c>
      <c r="D8" s="30" t="s">
        <v>169</v>
      </c>
    </row>
    <row r="9" customFormat="false" ht="15" hidden="false" customHeight="true" outlineLevel="0" collapsed="false">
      <c r="B9" s="64" t="s">
        <v>170</v>
      </c>
      <c r="C9" s="65" t="n">
        <f aca="false">'Balance-Sheet'!G24+'Balance-Sheet'!G22-'Balance-Sheet'!G5</f>
        <v>-114869</v>
      </c>
      <c r="D9" s="30" t="s">
        <v>171</v>
      </c>
    </row>
    <row r="10" customFormat="false" ht="15" hidden="false" customHeight="true" outlineLevel="0" collapsed="false">
      <c r="B10" s="59" t="s">
        <v>172</v>
      </c>
      <c r="C10" s="66" t="n">
        <v>12</v>
      </c>
      <c r="D10" s="30" t="s">
        <v>173</v>
      </c>
    </row>
    <row r="11" customFormat="false" ht="15" hidden="false" customHeight="true" outlineLevel="0" collapsed="false">
      <c r="B11" s="30" t="s">
        <v>174</v>
      </c>
      <c r="C11" s="67" t="n">
        <f aca="false">IFERROR(C40/('Income-Statement'!G8+'Cash-Flow'!G6),0)</f>
        <v>12.391266613356</v>
      </c>
      <c r="D11" s="30" t="s">
        <v>175</v>
      </c>
    </row>
    <row r="13" customFormat="false" ht="15" hidden="false" customHeight="true" outlineLevel="0" collapsed="false">
      <c r="B13" s="57" t="s">
        <v>176</v>
      </c>
      <c r="C13" s="58"/>
      <c r="D13" s="58"/>
      <c r="E13" s="58"/>
      <c r="F13" s="58"/>
      <c r="G13" s="58"/>
    </row>
    <row r="14" customFormat="false" ht="15" hidden="false" customHeight="true" outlineLevel="0" collapsed="false">
      <c r="C14" s="68" t="n">
        <f aca="false">'Income-Statement'!H3</f>
        <v>2026</v>
      </c>
      <c r="D14" s="68" t="n">
        <f aca="false">'Income-Statement'!I3</f>
        <v>2027</v>
      </c>
      <c r="E14" s="68" t="n">
        <f aca="false">'Income-Statement'!J3</f>
        <v>2028</v>
      </c>
      <c r="F14" s="68" t="n">
        <f aca="false">'Income-Statement'!K3</f>
        <v>2029</v>
      </c>
      <c r="G14" s="68" t="n">
        <f aca="false">'Income-Statement'!L3</f>
        <v>2030</v>
      </c>
    </row>
    <row r="15" customFormat="false" ht="15" hidden="false" customHeight="true" outlineLevel="0" collapsed="false">
      <c r="B15" s="69" t="s">
        <v>177</v>
      </c>
      <c r="C15" s="16" t="n">
        <f aca="false">'Income-Statement'!H8</f>
        <v>227358.34992</v>
      </c>
      <c r="D15" s="16" t="n">
        <f aca="false">'Income-Statement'!I8</f>
        <v>246557.4994688</v>
      </c>
      <c r="E15" s="16" t="n">
        <f aca="false">'Income-Statement'!J8</f>
        <v>268212.119196736</v>
      </c>
      <c r="F15" s="16" t="n">
        <f aca="false">'Income-Statement'!K8</f>
        <v>289109.433523127</v>
      </c>
      <c r="G15" s="16" t="n">
        <f aca="false">'Income-Statement'!L8</f>
        <v>312834.062609949</v>
      </c>
    </row>
    <row r="16" customFormat="false" ht="15" hidden="false" customHeight="true" outlineLevel="0" collapsed="false">
      <c r="B16" s="69" t="s">
        <v>178</v>
      </c>
      <c r="C16" s="16" t="n">
        <f aca="false">'Cash-Flow'!H6</f>
        <v>58297.0128</v>
      </c>
      <c r="D16" s="16" t="n">
        <f aca="false">'Cash-Flow'!I6</f>
        <v>60628.893312</v>
      </c>
      <c r="E16" s="16" t="n">
        <f aca="false">'Cash-Flow'!J6</f>
        <v>63357.19351104</v>
      </c>
      <c r="F16" s="16" t="n">
        <f aca="false">'Cash-Flow'!K6</f>
        <v>66208.2672190368</v>
      </c>
      <c r="G16" s="16" t="n">
        <f aca="false">'Cash-Flow'!L6</f>
        <v>67201.3912273224</v>
      </c>
    </row>
    <row r="17" customFormat="false" ht="15" hidden="false" customHeight="true" outlineLevel="0" collapsed="false">
      <c r="B17" s="20" t="s">
        <v>179</v>
      </c>
      <c r="C17" s="70" t="n">
        <f aca="false">C15+C16</f>
        <v>285655.36272</v>
      </c>
      <c r="D17" s="70" t="n">
        <f aca="false">D15+D16</f>
        <v>307186.3927808</v>
      </c>
      <c r="E17" s="70" t="n">
        <f aca="false">E15+E16</f>
        <v>331569.312707776</v>
      </c>
      <c r="F17" s="70" t="n">
        <f aca="false">F15+F16</f>
        <v>355317.700742164</v>
      </c>
      <c r="G17" s="70" t="n">
        <f aca="false">G15+G16</f>
        <v>380035.453837271</v>
      </c>
    </row>
    <row r="18" customFormat="false" ht="15" hidden="false" customHeight="true" outlineLevel="0" collapsed="false">
      <c r="B18" s="20" t="s">
        <v>180</v>
      </c>
      <c r="C18" s="71" t="n">
        <f aca="false">C17/'Income-Statement'!H4</f>
        <v>0.147</v>
      </c>
      <c r="D18" s="71" t="n">
        <f aca="false">D17/'Income-Statement'!I4</f>
        <v>0.152</v>
      </c>
      <c r="E18" s="71" t="n">
        <f aca="false">E17/'Income-Statement'!J4</f>
        <v>0.157</v>
      </c>
      <c r="F18" s="71" t="n">
        <f aca="false">F17/'Income-Statement'!K4</f>
        <v>0.161</v>
      </c>
      <c r="G18" s="71" t="n">
        <f aca="false">G17/'Income-Statement'!L4</f>
        <v>0.164</v>
      </c>
    </row>
    <row r="20" customFormat="false" ht="15" hidden="false" customHeight="true" outlineLevel="0" collapsed="false">
      <c r="B20" s="57" t="s">
        <v>181</v>
      </c>
      <c r="C20" s="58"/>
      <c r="D20" s="58"/>
      <c r="E20" s="58"/>
      <c r="F20" s="58"/>
      <c r="G20" s="58"/>
    </row>
    <row r="21" customFormat="false" ht="15" hidden="false" customHeight="true" outlineLevel="0" collapsed="false">
      <c r="B21" s="69" t="s">
        <v>182</v>
      </c>
      <c r="C21" s="16" t="n">
        <f aca="false">C15</f>
        <v>227358.34992</v>
      </c>
      <c r="D21" s="16" t="n">
        <f aca="false">D15</f>
        <v>246557.4994688</v>
      </c>
      <c r="E21" s="16" t="n">
        <f aca="false">E15</f>
        <v>268212.119196736</v>
      </c>
      <c r="F21" s="16" t="n">
        <f aca="false">F15</f>
        <v>289109.433523127</v>
      </c>
      <c r="G21" s="16" t="n">
        <f aca="false">G15</f>
        <v>312834.062609949</v>
      </c>
    </row>
    <row r="22" customFormat="false" ht="15" hidden="false" customHeight="true" outlineLevel="0" collapsed="false">
      <c r="B22" s="20" t="s">
        <v>183</v>
      </c>
      <c r="C22" s="70" t="n">
        <f aca="false">C21*(1-$C$7)</f>
        <v>170518.76244</v>
      </c>
      <c r="D22" s="70" t="n">
        <f aca="false">D21*(1-$C$7)</f>
        <v>184918.1246016</v>
      </c>
      <c r="E22" s="70" t="n">
        <f aca="false">E21*(1-$C$7)</f>
        <v>201159.089397552</v>
      </c>
      <c r="F22" s="70" t="n">
        <f aca="false">F21*(1-$C$7)</f>
        <v>216832.075142345</v>
      </c>
      <c r="G22" s="70" t="n">
        <f aca="false">G21*(1-$C$7)</f>
        <v>234625.546957462</v>
      </c>
    </row>
    <row r="23" customFormat="false" ht="15" hidden="false" customHeight="true" outlineLevel="0" collapsed="false">
      <c r="B23" s="69" t="s">
        <v>184</v>
      </c>
      <c r="C23" s="16" t="n">
        <f aca="false">C16</f>
        <v>58297.0128</v>
      </c>
      <c r="D23" s="16" t="n">
        <f aca="false">D16</f>
        <v>60628.893312</v>
      </c>
      <c r="E23" s="16" t="n">
        <f aca="false">E16</f>
        <v>63357.19351104</v>
      </c>
      <c r="F23" s="16" t="n">
        <f aca="false">F16</f>
        <v>66208.2672190368</v>
      </c>
      <c r="G23" s="16" t="n">
        <f aca="false">G16</f>
        <v>67201.3912273224</v>
      </c>
    </row>
    <row r="24" customFormat="false" ht="15" hidden="false" customHeight="true" outlineLevel="0" collapsed="false">
      <c r="B24" s="69" t="s">
        <v>185</v>
      </c>
      <c r="C24" s="16" t="n">
        <f aca="false">'Cash-Flow'!H23</f>
        <v>-46637.61024</v>
      </c>
      <c r="D24" s="16" t="n">
        <f aca="false">'Cash-Flow'!I23</f>
        <v>-48503.1146496</v>
      </c>
      <c r="E24" s="16" t="n">
        <f aca="false">'Cash-Flow'!J23</f>
        <v>-48573.848358464</v>
      </c>
      <c r="F24" s="16" t="n">
        <f aca="false">'Cash-Flow'!K23</f>
        <v>-50759.6715345949</v>
      </c>
      <c r="G24" s="16" t="n">
        <f aca="false">'Cash-Flow'!L23</f>
        <v>-53297.6551113246</v>
      </c>
    </row>
    <row r="25" customFormat="false" ht="15" hidden="false" customHeight="true" outlineLevel="0" collapsed="false">
      <c r="B25" s="69" t="s">
        <v>186</v>
      </c>
      <c r="C25" s="16" t="n">
        <f aca="false">SUM('Cash-Flow'!H15:H20)</f>
        <v>17491.9753294629</v>
      </c>
      <c r="D25" s="16" t="n">
        <f aca="false">SUM('Cash-Flow'!I15:I20)</f>
        <v>-55.3770642527088</v>
      </c>
      <c r="E25" s="16" t="n">
        <f aca="false">SUM('Cash-Flow'!J15:J20)</f>
        <v>-551.372639537207</v>
      </c>
      <c r="F25" s="16" t="n">
        <f aca="false">SUM('Cash-Flow'!K15:K20)</f>
        <v>-2907.32410636771</v>
      </c>
      <c r="G25" s="16" t="n">
        <f aca="false">SUM('Cash-Flow'!L15:L20)</f>
        <v>-6261.0765624934</v>
      </c>
    </row>
    <row r="26" customFormat="false" ht="15" hidden="false" customHeight="true" outlineLevel="0" collapsed="false">
      <c r="B26" s="20" t="s">
        <v>187</v>
      </c>
      <c r="C26" s="72" t="n">
        <f aca="false">SUM(C22:C25)</f>
        <v>199670.140329463</v>
      </c>
      <c r="D26" s="72" t="n">
        <f aca="false">SUM(D22:D25)</f>
        <v>196988.526199747</v>
      </c>
      <c r="E26" s="72" t="n">
        <f aca="false">SUM(E22:E25)</f>
        <v>215391.061910591</v>
      </c>
      <c r="F26" s="72" t="n">
        <f aca="false">SUM(F22:F25)</f>
        <v>229373.34672042</v>
      </c>
      <c r="G26" s="72" t="n">
        <f aca="false">SUM(G22:G25)</f>
        <v>242268.206510966</v>
      </c>
    </row>
    <row r="27" customFormat="false" ht="15" hidden="false" customHeight="true" outlineLevel="0" collapsed="false">
      <c r="B27" s="20" t="s">
        <v>188</v>
      </c>
      <c r="C27" s="73" t="n">
        <f aca="false">C26/'Income-Statement'!H4</f>
        <v>0.102751477686072</v>
      </c>
      <c r="D27" s="73" t="n">
        <f aca="false">D26/'Income-Statement'!I4</f>
        <v>0.0974725986763599</v>
      </c>
      <c r="E27" s="73" t="n">
        <f aca="false">E26/'Income-Statement'!J4</f>
        <v>0.101988921845027</v>
      </c>
      <c r="F27" s="73" t="n">
        <f aca="false">F26/'Income-Statement'!K4</f>
        <v>0.103932646037201</v>
      </c>
      <c r="G27" s="73" t="n">
        <f aca="false">G26/'Income-Statement'!L4</f>
        <v>0.104548103253575</v>
      </c>
    </row>
    <row r="29" customFormat="false" ht="15" hidden="false" customHeight="true" outlineLevel="0" collapsed="false">
      <c r="B29" s="57" t="s">
        <v>189</v>
      </c>
      <c r="C29" s="58"/>
      <c r="D29" s="58"/>
      <c r="E29" s="58"/>
      <c r="F29" s="58"/>
      <c r="G29" s="58"/>
    </row>
    <row r="30" customFormat="false" ht="15" hidden="false" customHeight="true" outlineLevel="0" collapsed="false">
      <c r="B30" s="15" t="s">
        <v>190</v>
      </c>
      <c r="C30" s="74" t="n">
        <v>1</v>
      </c>
      <c r="D30" s="74" t="n">
        <v>2</v>
      </c>
      <c r="E30" s="74" t="n">
        <v>3</v>
      </c>
      <c r="F30" s="74" t="n">
        <v>4</v>
      </c>
      <c r="G30" s="74" t="n">
        <v>5</v>
      </c>
    </row>
    <row r="31" customFormat="false" ht="15" hidden="false" customHeight="true" outlineLevel="0" collapsed="false">
      <c r="B31" s="15" t="s">
        <v>191</v>
      </c>
      <c r="C31" s="16" t="n">
        <f aca="false">C26</f>
        <v>199670.140329463</v>
      </c>
      <c r="D31" s="16" t="n">
        <f aca="false">D26</f>
        <v>196988.526199747</v>
      </c>
      <c r="E31" s="16" t="n">
        <f aca="false">E26</f>
        <v>215391.061910591</v>
      </c>
      <c r="F31" s="16" t="n">
        <f aca="false">F26</f>
        <v>229373.34672042</v>
      </c>
      <c r="G31" s="16" t="n">
        <f aca="false">G26</f>
        <v>242268.206510966</v>
      </c>
    </row>
    <row r="32" customFormat="false" ht="15" hidden="false" customHeight="true" outlineLevel="0" collapsed="false">
      <c r="B32" s="15" t="s">
        <v>192</v>
      </c>
      <c r="C32" s="75" t="n">
        <f aca="false">IFERROR(1/(1+$C$5)^C30,0)</f>
        <v>0.91743119266055</v>
      </c>
      <c r="D32" s="75" t="n">
        <f aca="false">IFERROR(1/(1+$C$5)^D30,0)</f>
        <v>0.84167999326656</v>
      </c>
      <c r="E32" s="75" t="n">
        <f aca="false">IFERROR(1/(1+$C$5)^E30,0)</f>
        <v>0.772183480061064</v>
      </c>
      <c r="F32" s="75" t="n">
        <f aca="false">IFERROR(1/(1+$C$5)^F30,0)</f>
        <v>0.708425211065196</v>
      </c>
      <c r="G32" s="75" t="n">
        <f aca="false">IFERROR(1/(1+$C$5)^G30,0)</f>
        <v>0.649931386298345</v>
      </c>
    </row>
    <row r="33" customFormat="false" ht="15" hidden="false" customHeight="true" outlineLevel="0" collapsed="false">
      <c r="B33" s="15" t="s">
        <v>193</v>
      </c>
      <c r="C33" s="76" t="n">
        <f aca="false">C31*C32</f>
        <v>183183.614981158</v>
      </c>
      <c r="D33" s="76" t="n">
        <f aca="false">D31*D32</f>
        <v>165801.301405393</v>
      </c>
      <c r="E33" s="76" t="n">
        <f aca="false">E31*E32</f>
        <v>166321.419760168</v>
      </c>
      <c r="F33" s="76" t="n">
        <f aca="false">F31*F32</f>
        <v>162493.861563144</v>
      </c>
      <c r="G33" s="76" t="n">
        <f aca="false">G31*G32</f>
        <v>157457.711313686</v>
      </c>
    </row>
    <row r="35" customFormat="false" ht="15" hidden="false" customHeight="true" outlineLevel="0" collapsed="false">
      <c r="B35" s="20" t="s">
        <v>194</v>
      </c>
      <c r="C35" s="72" t="n">
        <f aca="false">NPV($C$5,C26:G26)</f>
        <v>835257.909023549</v>
      </c>
      <c r="D35" s="30" t="s">
        <v>195</v>
      </c>
    </row>
    <row r="36" customFormat="false" ht="15" hidden="false" customHeight="true" outlineLevel="0" collapsed="false">
      <c r="B36" s="15" t="s">
        <v>196</v>
      </c>
      <c r="C36" s="77" t="n">
        <f aca="false">IFERROR(G26*(1+$C$6)/($C$5-$C$6),0)</f>
        <v>3820383.25651908</v>
      </c>
      <c r="D36" s="30" t="s">
        <v>197</v>
      </c>
    </row>
    <row r="37" customFormat="false" ht="15" hidden="false" customHeight="true" outlineLevel="0" collapsed="false">
      <c r="B37" s="20" t="s">
        <v>198</v>
      </c>
      <c r="C37" s="72" t="n">
        <f aca="false">IFERROR(C36/(1+$C$5)^5,0)</f>
        <v>2482986.98610043</v>
      </c>
    </row>
    <row r="38" customFormat="false" ht="15" hidden="false" customHeight="true" outlineLevel="0" collapsed="false">
      <c r="B38" s="30" t="s">
        <v>199</v>
      </c>
      <c r="C38" s="78" t="n">
        <f aca="false">IFERROR(C37/(C35+C37),0)</f>
        <v>0.748283223383866</v>
      </c>
    </row>
    <row r="40" customFormat="false" ht="15" hidden="false" customHeight="true" outlineLevel="0" collapsed="false">
      <c r="B40" s="20" t="s">
        <v>200</v>
      </c>
      <c r="C40" s="72" t="n">
        <f aca="false">SUM(C35,C37)</f>
        <v>3318244.89512398</v>
      </c>
      <c r="D40" s="30" t="s">
        <v>201</v>
      </c>
    </row>
    <row r="41" customFormat="false" ht="15" hidden="false" customHeight="true" outlineLevel="0" collapsed="false">
      <c r="B41" s="15" t="s">
        <v>202</v>
      </c>
      <c r="C41" s="77" t="n">
        <f aca="false">-$C$9</f>
        <v>114869</v>
      </c>
    </row>
    <row r="42" customFormat="false" ht="15" hidden="false" customHeight="true" outlineLevel="0" collapsed="false">
      <c r="B42" s="20" t="s">
        <v>203</v>
      </c>
      <c r="C42" s="72" t="n">
        <f aca="false">SUM(C40,C41)</f>
        <v>3433113.89512398</v>
      </c>
    </row>
    <row r="43" customFormat="false" ht="15" hidden="false" customHeight="true" outlineLevel="0" collapsed="false">
      <c r="B43" s="79" t="s">
        <v>204</v>
      </c>
      <c r="C43" s="80" t="n">
        <f aca="false">IFERROR(C42/$C$8,0)</f>
        <v>41.1151364685507</v>
      </c>
      <c r="D43" s="30" t="s">
        <v>205</v>
      </c>
    </row>
    <row r="44" customFormat="false" ht="15" hidden="false" customHeight="true" outlineLevel="0" collapsed="false">
      <c r="B44" s="81" t="s">
        <v>206</v>
      </c>
      <c r="C44" s="82" t="n">
        <v>33.5</v>
      </c>
    </row>
    <row r="45" customFormat="false" ht="15" hidden="false" customHeight="true" outlineLevel="0" collapsed="false">
      <c r="B45" s="20" t="s">
        <v>207</v>
      </c>
      <c r="C45" s="73" t="n">
        <f aca="false">IFERROR((C43-C44)/C44,0)</f>
        <v>0.2273175065239</v>
      </c>
    </row>
    <row r="47" customFormat="false" ht="15" hidden="false" customHeight="true" outlineLevel="0" collapsed="false">
      <c r="B47" s="57" t="s">
        <v>208</v>
      </c>
    </row>
    <row r="48" customFormat="false" ht="15" hidden="false" customHeight="true" outlineLevel="0" collapsed="false">
      <c r="B48" s="15" t="s">
        <v>209</v>
      </c>
      <c r="C48" s="16" t="n">
        <f aca="false">G17</f>
        <v>380035.453837271</v>
      </c>
    </row>
    <row r="49" customFormat="false" ht="15" hidden="false" customHeight="true" outlineLevel="0" collapsed="false">
      <c r="B49" s="81" t="s">
        <v>172</v>
      </c>
      <c r="C49" s="83" t="n">
        <f aca="false">$C$10</f>
        <v>12</v>
      </c>
    </row>
    <row r="50" customFormat="false" ht="15" hidden="false" customHeight="true" outlineLevel="0" collapsed="false">
      <c r="B50" s="15" t="s">
        <v>210</v>
      </c>
      <c r="C50" s="77" t="n">
        <f aca="false">C48*C49</f>
        <v>4560425.44604726</v>
      </c>
    </row>
    <row r="51" customFormat="false" ht="15" hidden="false" customHeight="true" outlineLevel="0" collapsed="false">
      <c r="B51" s="15" t="s">
        <v>211</v>
      </c>
      <c r="C51" s="77" t="n">
        <f aca="false">C50*G32</f>
        <v>2963963.63225974</v>
      </c>
    </row>
    <row r="52" customFormat="false" ht="15" hidden="false" customHeight="true" outlineLevel="0" collapsed="false">
      <c r="B52" s="20" t="s">
        <v>212</v>
      </c>
      <c r="C52" s="84" t="n">
        <f aca="false">(C35+C51-$C$9)/$C$8</f>
        <v>46.875335823752</v>
      </c>
    </row>
    <row r="55" customFormat="false" ht="15" hidden="false" customHeight="true" outlineLevel="0" collapsed="false">
      <c r="B55" s="57" t="s">
        <v>213</v>
      </c>
      <c r="C55" s="85" t="s">
        <v>214</v>
      </c>
    </row>
    <row r="56" customFormat="false" ht="15" hidden="false" customHeight="true" outlineLevel="0" collapsed="false">
      <c r="B56" s="20" t="s">
        <v>215</v>
      </c>
    </row>
    <row r="57" customFormat="false" ht="15" hidden="false" customHeight="true" outlineLevel="0" collapsed="false">
      <c r="C57" s="86" t="n">
        <v>0.07</v>
      </c>
      <c r="D57" s="86" t="n">
        <v>0.08</v>
      </c>
      <c r="E57" s="86" t="n">
        <v>0.09</v>
      </c>
      <c r="F57" s="86" t="n">
        <v>0.1</v>
      </c>
      <c r="G57" s="86" t="n">
        <v>0.11</v>
      </c>
      <c r="H57" s="87" t="n">
        <v>0.12</v>
      </c>
      <c r="I57" s="87" t="n">
        <v>0.13</v>
      </c>
    </row>
    <row r="58" customFormat="false" ht="15" hidden="false" customHeight="true" outlineLevel="0" collapsed="false">
      <c r="B58" s="22" t="n">
        <v>0.015</v>
      </c>
      <c r="C58" s="88" t="n">
        <f aca="false">IFERROR((NPV(C$57,$C$26:$G$26)+G26*(1+$B58)/(C$57-$B58)/(1+C$57)^5+(-$C$9))/$C$8,0)</f>
        <v>50.1174166216529</v>
      </c>
      <c r="D58" s="88" t="n">
        <f aca="false">IFERROR((NPV(D$57,$C$26:$G$26)+G26*(1+$B58)/(D$57-$B58)/(1+D$57)^5+(-$C$9))/$C$8,0)</f>
        <v>42.4888730476309</v>
      </c>
      <c r="E58" s="88" t="n">
        <f aca="false">IFERROR((NPV(E$57,$C$26:$G$26)+G26*(1+$B58)/(E$57-$B58)/(1+E$57)^5+(-$C$9))/$C$8,0)</f>
        <v>36.898857510604</v>
      </c>
      <c r="F58" s="88" t="n">
        <f aca="false">IFERROR((NPV(F$57,$C$26:$G$26)+G26*(1+$B58)/(F$57-$B58)/(1+F$57)^5+(-$C$9))/$C$8,0)</f>
        <v>32.6277121499009</v>
      </c>
      <c r="G58" s="88" t="n">
        <f aca="false">IFERROR((NPV(G$57,$C$26:$G$26)+G26*(1+$B58)/(G$57-$B58)/(1+G$57)^5+(-$C$9))/$C$8,0)</f>
        <v>29.2588019242039</v>
      </c>
      <c r="H58" s="88" t="n">
        <f aca="false">IFERROR((NPV(H$57,$C$26:$G$26)+G26*(1+$B58)/(H$57-$B58)/(1+H$57)^5+(-$C$9))/$C$8,0)</f>
        <v>26.5342174977604</v>
      </c>
      <c r="I58" s="88" t="n">
        <f aca="false">IFERROR((NPV(I$57,$C$26:$G$26)+G26*(1+$B58)/(I$57-$B58)/(1+I$57)^5+(-$C$9))/$C$8,0)</f>
        <v>24.2857636134369</v>
      </c>
    </row>
    <row r="59" customFormat="false" ht="15" hidden="false" customHeight="true" outlineLevel="0" collapsed="false">
      <c r="B59" s="22" t="n">
        <v>0.02</v>
      </c>
      <c r="C59" s="88" t="n">
        <f aca="false">IFERROR((NPV(C$57,$C$26:$G$26)+G26*(1+$B59)/(C$57-$B59)/(1+C$57)^5+(-$C$9))/$C$8,0)</f>
        <v>54.1419186309846</v>
      </c>
      <c r="D59" s="88" t="n">
        <f aca="false">IFERROR((NPV(D$57,$C$26:$G$26)+G26*(1+$B59)/(D$57-$B59)/(1+D$57)^5+(-$C$9))/$C$8,0)</f>
        <v>45.2230103755753</v>
      </c>
      <c r="E59" s="88" t="n">
        <f aca="false">IFERROR((NPV(E$57,$C$26:$G$26)+G26*(1+$B59)/(E$57-$B59)/(1+E$57)^5+(-$C$9))/$C$8,0)</f>
        <v>38.8564155982221</v>
      </c>
      <c r="F59" s="88" t="n">
        <f aca="false">IFERROR((NPV(F$57,$C$26:$G$26)+G26*(1+$B59)/(F$57-$B59)/(1+F$57)^5+(-$C$9))/$C$8,0)</f>
        <v>34.084848860487</v>
      </c>
      <c r="G59" s="88" t="n">
        <f aca="false">IFERROR((NPV(G$57,$C$26:$G$26)+G26*(1+$B59)/(G$57-$B59)/(1+G$57)^5+(-$C$9))/$C$8,0)</f>
        <v>30.3764933601344</v>
      </c>
      <c r="H59" s="88" t="n">
        <f aca="false">IFERROR((NPV(H$57,$C$26:$G$26)+G26*(1+$B59)/(H$57-$B59)/(1+H$57)^5+(-$C$9))/$C$8,0)</f>
        <v>27.4122661151567</v>
      </c>
      <c r="I59" s="88" t="n">
        <f aca="false">IFERROR((NPV(I$57,$C$26:$G$26)+G26*(1+$B59)/(I$57-$B59)/(1+I$57)^5+(-$C$9))/$C$8,0)</f>
        <v>24.9891203537482</v>
      </c>
    </row>
    <row r="60" customFormat="false" ht="15" hidden="false" customHeight="true" outlineLevel="0" collapsed="false">
      <c r="B60" s="22" t="n">
        <v>0.025</v>
      </c>
      <c r="C60" s="88" t="n">
        <f aca="false">IFERROR((NPV(C$57,$C$26:$G$26)+G26*(1+$B60)/(C$57-$B60)/(1+C$57)^5+(-$C$9))/$C$8,0)</f>
        <v>59.0607544201677</v>
      </c>
      <c r="D60" s="88" t="n">
        <f aca="false">IFERROR((NPV(D$57,$C$26:$G$26)+G26*(1+$B60)/(D$57-$B60)/(1+D$57)^5+(-$C$9))/$C$8,0)</f>
        <v>48.4542635813277</v>
      </c>
      <c r="E60" s="84" t="n">
        <f aca="false">IFERROR((NPV(E$57,$C$26:$G$26)+G26*(1+$B60)/(E$57-$B60)/(1+E$57)^5+(-$C$9))/$C$8,0)</f>
        <v>41.1151364685507</v>
      </c>
      <c r="F60" s="88" t="n">
        <f aca="false">IFERROR((NPV(F$57,$C$26:$G$26)+G26*(1+$B60)/(F$57-$B60)/(1+F$57)^5+(-$C$9))/$C$8,0)</f>
        <v>35.7362704658178</v>
      </c>
      <c r="G60" s="88" t="n">
        <f aca="false">IFERROR((NPV(G$57,$C$26:$G$26)+G26*(1+$B60)/(G$57-$B60)/(1+G$57)^5+(-$C$9))/$C$8,0)</f>
        <v>31.6256779061743</v>
      </c>
      <c r="H60" s="88" t="n">
        <f aca="false">IFERROR((NPV(H$57,$C$26:$G$26)+G26*(1+$B60)/(H$57-$B60)/(1+H$57)^5+(-$C$9))/$C$8,0)</f>
        <v>28.3827409028052</v>
      </c>
      <c r="I60" s="88" t="n">
        <f aca="false">IFERROR((NPV(I$57,$C$26:$G$26)+G26*(1+$B60)/(I$57-$B60)/(1+I$57)^5+(-$C$9))/$C$8,0)</f>
        <v>25.7594634502797</v>
      </c>
    </row>
    <row r="61" customFormat="false" ht="15" hidden="false" customHeight="true" outlineLevel="0" collapsed="false">
      <c r="B61" s="22" t="n">
        <v>0.03</v>
      </c>
      <c r="C61" s="88" t="n">
        <f aca="false">IFERROR((NPV(C$57,$C$26:$G$26)+G26*(1+$B61)/(C$57-$B61)/(1+C$57)^5+(-$C$9))/$C$8,0)</f>
        <v>65.2092991566467</v>
      </c>
      <c r="D61" s="88" t="n">
        <f aca="false">IFERROR((NPV(D$57,$C$26:$G$26)+G26*(1+$B61)/(D$57-$B61)/(1+D$57)^5+(-$C$9))/$C$8,0)</f>
        <v>52.3317674282306</v>
      </c>
      <c r="E61" s="88" t="n">
        <f aca="false">IFERROR((NPV(E$57,$C$26:$G$26)+G26*(1+$B61)/(E$57-$B61)/(1+E$57)^5+(-$C$9))/$C$8,0)</f>
        <v>43.7503108172674</v>
      </c>
      <c r="F61" s="88" t="n">
        <f aca="false">IFERROR((NPV(F$57,$C$26:$G$26)+G26*(1+$B61)/(F$57-$B61)/(1+F$57)^5+(-$C$9))/$C$8,0)</f>
        <v>37.6236094433388</v>
      </c>
      <c r="G61" s="88" t="n">
        <f aca="false">IFERROR((NPV(G$57,$C$26:$G$26)+G26*(1+$B61)/(G$57-$B61)/(1+G$57)^5+(-$C$9))/$C$8,0)</f>
        <v>33.0310105204692</v>
      </c>
      <c r="H61" s="88" t="n">
        <f aca="false">IFERROR((NPV(H$57,$C$26:$G$26)+G26*(1+$B61)/(H$57-$B61)/(1+H$57)^5+(-$C$9))/$C$8,0)</f>
        <v>29.4610462224146</v>
      </c>
      <c r="I61" s="88" t="n">
        <f aca="false">IFERROR((NPV(I$57,$C$26:$G$26)+G26*(1+$B61)/(I$57-$B61)/(1+I$57)^5+(-$C$9))/$C$8,0)</f>
        <v>26.6068408564643</v>
      </c>
    </row>
    <row r="62" customFormat="false" ht="15" hidden="false" customHeight="true" outlineLevel="0" collapsed="false">
      <c r="B62" s="22" t="n">
        <v>0.035</v>
      </c>
      <c r="C62" s="88" t="n">
        <f aca="false">IFERROR((NPV(C$57,$C$26:$G$26)+G26*(1+$B62)/(C$57-$B62)/(1+C$57)^5+(-$C$9))/$C$8,0)</f>
        <v>73.114570960691</v>
      </c>
      <c r="D62" s="88" t="n">
        <f aca="false">IFERROR((NPV(D$57,$C$26:$G$26)+G26*(1+$B62)/(D$57-$B62)/(1+D$57)^5+(-$C$9))/$C$8,0)</f>
        <v>57.0709387966675</v>
      </c>
      <c r="E62" s="88" t="n">
        <f aca="false">IFERROR((NPV(E$57,$C$26:$G$26)+G26*(1+$B62)/(E$57-$B62)/(1+E$57)^5+(-$C$9))/$C$8,0)</f>
        <v>46.8646077748416</v>
      </c>
      <c r="F62" s="88" t="n">
        <f aca="false">IFERROR((NPV(F$57,$C$26:$G$26)+G26*(1+$B62)/(F$57-$B62)/(1+F$57)^5+(-$C$9))/$C$8,0)</f>
        <v>39.8013082635554</v>
      </c>
      <c r="G62" s="88" t="n">
        <f aca="false">IFERROR((NPV(G$57,$C$26:$G$26)+G26*(1+$B62)/(G$57-$B62)/(1+G$57)^5+(-$C$9))/$C$8,0)</f>
        <v>34.6237208166701</v>
      </c>
      <c r="H62" s="88" t="n">
        <f aca="false">IFERROR((NPV(H$57,$C$26:$G$26)+G26*(1+$B62)/(H$57-$B62)/(1+H$57)^5+(-$C$9))/$C$8,0)</f>
        <v>30.6662109913899</v>
      </c>
      <c r="I62" s="88" t="n">
        <f aca="false">IFERROR((NPV(I$57,$C$26:$G$26)+G26*(1+$B62)/(I$57-$B62)/(1+I$57)^5+(-$C$9))/$C$8,0)</f>
        <v>27.5434158843525</v>
      </c>
    </row>
    <row r="64" customFormat="false" ht="15" hidden="false" customHeight="true" outlineLevel="0" collapsed="false">
      <c r="B64" s="30" t="s">
        <v>216</v>
      </c>
    </row>
    <row r="65" customFormat="false" ht="15" hidden="false" customHeight="true" outlineLevel="0" collapsed="false">
      <c r="B65" s="3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2026-03-25T18:41:50Z</dcterms:created>
  <dc:creator>openpyxl</dc:creator>
  <dc:description/>
  <dc:language>en-US</dc:language>
  <cp:lastModifiedBy>Noah P. Koons</cp:lastModifiedBy>
  <dcterms:modified xsi:type="dcterms:W3CDTF">2026-03-26T22:15:07Z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